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ture data" sheetId="1" r:id="rId5"/>
    <sheet state="visible" name="Fisheries Report" sheetId="2" r:id="rId6"/>
    <sheet state="visible" name="Effort" sheetId="3" r:id="rId7"/>
    <sheet state="visible" name="Telemetry MetaData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tc={294a3ac2-2469-4c56-a40b-fcbe6351a780}</author>
    <author>tc={2df3faa0-68d0-44cc-8b43-b008cca02d9d}</author>
    <author>tc={35561ffe-7edb-41bf-a4a6-c880fdc6cef8}</author>
    <author>tc={5ff71a42-97dc-4efa-ae74-b5b41b31988f}</author>
    <author>tc={70500d58-0f2c-4992-9851-e6a945af2069}</author>
    <author>tc={72f5ce17-427d-47d7-b1fd-62d5760bf313}</author>
    <author>tc={b83bbcd1-48d5-4fc7-b689-665c1b7577ed}</author>
    <author>tc={e90e4adc-df9c-42b0-be57-80e2a22d71d3}</author>
  </authors>
  <commentList>
    <comment authorId="0" xr:uid="{294a3ac2-2469-4c56-a40b-fcbe6351a7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Doesn't align with tag data?
</t>
      </text>
    </comment>
    <comment authorId="1" xr:uid="{2df3faa0-68d0-44cc-8b43-b008cca02d9d}" ref="T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Different in Tadzio's OG data
</t>
      </text>
    </comment>
    <comment authorId="2" xr:uid="{35561ffe-7edb-41bf-a4a6-c880fdc6cef8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is listed as a male in tagging data but as female in satellite tag dataset
</t>
      </text>
    </comment>
    <comment authorId="3" xr:uid="{5ff71a42-97dc-4efa-ae74-b5b41b31988f}" ref="N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Estimated from photo - fish box width is 75cm, other photos implied that length to pelvic fin is approximately half of the total length
</t>
      </text>
    </comment>
    <comment authorId="4" xr:uid="{70500d58-0f2c-4992-9851-e6a945af2069}" ref="T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Different in Tadzio's OG data
</t>
      </text>
    </comment>
    <comment authorId="5" xr:uid="{72f5ce17-427d-47d7-b1fd-62d5760bf31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How is this the same...?
</t>
      </text>
    </comment>
    <comment authorId="6" xr:uid="{b83bbcd1-48d5-4fc7-b689-665c1b7577ed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Changed based on sat data (male in tadzio's OG data)
</t>
      </text>
    </comment>
    <comment authorId="7" xr:uid="{e90e4adc-df9c-42b0-be57-80e2a22d71d3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shark is listed in Tadzio's sat tag data, but not actual shark tagging dataset
Reply:
	From 12/XX/2023
</t>
      </text>
    </comment>
  </commentList>
</comments>
</file>

<file path=xl/sharedStrings.xml><?xml version="1.0" encoding="utf-8"?>
<sst xmlns="http://schemas.openxmlformats.org/spreadsheetml/2006/main" count="440" uniqueCount="121">
  <si>
    <t>Date Tag Deployed</t>
  </si>
  <si>
    <t>Date</t>
  </si>
  <si>
    <t>Date tagged</t>
  </si>
  <si>
    <t>Time</t>
  </si>
  <si>
    <t>Country</t>
  </si>
  <si>
    <t>Location</t>
  </si>
  <si>
    <t>Tag Deploy Lat</t>
  </si>
  <si>
    <t xml:space="preserve">Tag Deploy Long </t>
  </si>
  <si>
    <t>SPP</t>
  </si>
  <si>
    <t>Sex</t>
  </si>
  <si>
    <t>PTTID</t>
  </si>
  <si>
    <t>Island</t>
  </si>
  <si>
    <t xml:space="preserve">Data Recieved </t>
  </si>
  <si>
    <t>Latitude</t>
  </si>
  <si>
    <t>Longitude</t>
  </si>
  <si>
    <t>GPS_unit</t>
  </si>
  <si>
    <t>GPS_Mark</t>
  </si>
  <si>
    <t>Floy</t>
  </si>
  <si>
    <t>Species_com</t>
  </si>
  <si>
    <t>Species</t>
  </si>
  <si>
    <t>Start time</t>
  </si>
  <si>
    <t>End time</t>
  </si>
  <si>
    <t>Set duration</t>
  </si>
  <si>
    <t>Method</t>
  </si>
  <si>
    <t>N rigs</t>
  </si>
  <si>
    <t>Notes</t>
  </si>
  <si>
    <t>Male_maturity</t>
  </si>
  <si>
    <t>TL</t>
  </si>
  <si>
    <t>Antigua</t>
  </si>
  <si>
    <t>FL</t>
  </si>
  <si>
    <t>Ffryes Shoals</t>
  </si>
  <si>
    <t>PCL</t>
  </si>
  <si>
    <t>PIT_ID</t>
  </si>
  <si>
    <t>Galeocerdo cuvier</t>
  </si>
  <si>
    <t>DNA_YN</t>
  </si>
  <si>
    <t>F</t>
  </si>
  <si>
    <t>283833PAT</t>
  </si>
  <si>
    <t>Sat_YN</t>
  </si>
  <si>
    <t>Sat_PTT</t>
  </si>
  <si>
    <t>Attachments</t>
  </si>
  <si>
    <t>Floy Tag ID</t>
  </si>
  <si>
    <t>Total Length</t>
  </si>
  <si>
    <t>Fork Length</t>
  </si>
  <si>
    <t>Precaudal Length</t>
  </si>
  <si>
    <t>Satellite Tag PTTID</t>
  </si>
  <si>
    <t>260593PAT</t>
  </si>
  <si>
    <t>The Nest</t>
  </si>
  <si>
    <t>26354MINIPAT</t>
  </si>
  <si>
    <t>36353MINIPAT</t>
  </si>
  <si>
    <t>00168</t>
  </si>
  <si>
    <t>00199</t>
  </si>
  <si>
    <t>Silky</t>
  </si>
  <si>
    <t>Carcharhinus falciformis</t>
  </si>
  <si>
    <t>NA</t>
  </si>
  <si>
    <t>3DD.003035C493</t>
  </si>
  <si>
    <t>283833</t>
  </si>
  <si>
    <t>DL</t>
  </si>
  <si>
    <t>Missing original data, approximated from photos</t>
  </si>
  <si>
    <t>00198</t>
  </si>
  <si>
    <t>Carcharhinus perezii</t>
  </si>
  <si>
    <t>3D6.00183FCF83</t>
  </si>
  <si>
    <t>989001026933928</t>
  </si>
  <si>
    <t>Y</t>
  </si>
  <si>
    <t>00091</t>
  </si>
  <si>
    <t>N</t>
  </si>
  <si>
    <t>3D6.00183FCF76</t>
  </si>
  <si>
    <t>260593</t>
  </si>
  <si>
    <t>00099</t>
  </si>
  <si>
    <t>3D6.00183FCF6F</t>
  </si>
  <si>
    <t>26354</t>
  </si>
  <si>
    <t>00093</t>
  </si>
  <si>
    <t>3D6.1533AF3161</t>
  </si>
  <si>
    <t>00175</t>
  </si>
  <si>
    <t>989001026933966</t>
  </si>
  <si>
    <t>00197</t>
  </si>
  <si>
    <t>BL</t>
  </si>
  <si>
    <t>M</t>
  </si>
  <si>
    <t>3D6.1533AF3140</t>
  </si>
  <si>
    <t>Willoughby Bay</t>
  </si>
  <si>
    <t>00192</t>
  </si>
  <si>
    <t>3D6.1534925823</t>
  </si>
  <si>
    <t>36353</t>
  </si>
  <si>
    <t>Barbuda</t>
  </si>
  <si>
    <t>Coco Point</t>
  </si>
  <si>
    <t>00200</t>
  </si>
  <si>
    <t>3D6.15349257F3</t>
  </si>
  <si>
    <t>00006</t>
  </si>
  <si>
    <t>989001026933899</t>
  </si>
  <si>
    <t>TL estimated from photo due to time-sensitive nature of capture</t>
  </si>
  <si>
    <t>00024</t>
  </si>
  <si>
    <t>Tiger</t>
  </si>
  <si>
    <t>Tadzio's effort data says Jabbawock</t>
  </si>
  <si>
    <t>989001026933956</t>
  </si>
  <si>
    <t>South Bank</t>
  </si>
  <si>
    <t>00165</t>
  </si>
  <si>
    <t>989001026933924</t>
  </si>
  <si>
    <t>Carlisle Bay</t>
  </si>
  <si>
    <t>00017</t>
  </si>
  <si>
    <t>989001026933918</t>
  </si>
  <si>
    <t>Palmetto Point</t>
  </si>
  <si>
    <t>00152</t>
  </si>
  <si>
    <t>989001026933958</t>
  </si>
  <si>
    <t>23U2142</t>
  </si>
  <si>
    <t>00164</t>
  </si>
  <si>
    <t>989001026933161</t>
  </si>
  <si>
    <t>23U2175</t>
  </si>
  <si>
    <t>This is listed as a male in Tadzio's tagging data but as female in satellite tag dataset. Tadzio's OG data says Sat_PTT 260594? Sat tag origin shows deployment at South Bank, Tadzio's effort data says tagged at Jabbawock</t>
  </si>
  <si>
    <t>23U2179</t>
  </si>
  <si>
    <t>Nothing in Tadzio's OG data, just sat data output. Omitting from any anayses</t>
  </si>
  <si>
    <t>00166</t>
  </si>
  <si>
    <t>989001026933432</t>
  </si>
  <si>
    <t>23U3903</t>
  </si>
  <si>
    <t>Tadzio's OG data says 260782</t>
  </si>
  <si>
    <t>2</t>
  </si>
  <si>
    <t>318</t>
  </si>
  <si>
    <t>322</t>
  </si>
  <si>
    <t>Reef</t>
  </si>
  <si>
    <t>321</t>
  </si>
  <si>
    <t>Mature</t>
  </si>
  <si>
    <t>1</t>
  </si>
  <si>
    <t>TL estimated from photo - fish box width is 75cm, other photos implied that length to pelvic fin is approximately half of the total length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</si>
</sst>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h&quot;:&quot;mm"/>
    <numFmt numFmtId="166" formatCode="m/d/yyyy"/>
    <numFmt numFmtId="167" formatCode="mm/dd/yyyy"/>
  </numFmts>
  <fonts count="6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b/>
      <color theme="1"/>
      <name val="Arial"/>
      <scheme val="minor"/>
    </font>
    <font>
      <b/>
      <sz val="10.0"/>
      <color rgb="FF000000"/>
      <name val="Arial"/>
      <scheme val="minor"/>
    </font>
    <font>
      <color theme="1"/>
      <name val="Arial"/>
      <scheme val="minor"/>
    </font>
    <font>
      <sz val="10.0"/>
      <color rgb="FFFF0000"/>
      <name val="Arial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0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2" fontId="0" numFmtId="0" xfId="0" applyAlignment="1" applyFill="1" applyFont="1">
      <alignment horizontal="right" readingOrder="0"/>
    </xf>
    <xf borderId="0" fillId="2" fontId="0" numFmtId="0" xfId="0" applyFill="1" applyFont="1"/>
    <xf borderId="0" fillId="0" fontId="2" numFmtId="0" xfId="0" applyAlignment="1" applyFont="1">
      <alignment readingOrder="0"/>
    </xf>
    <xf borderId="0" fillId="3" fontId="0" numFmtId="0" xfId="0" applyFill="1" applyFont="1"/>
    <xf borderId="0" fillId="2" fontId="0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2" fontId="0" numFmtId="165" xfId="0" applyAlignment="1" applyFill="1" applyFont="1" applyNumberFormat="1">
      <alignment readingOrder="0"/>
    </xf>
    <xf borderId="0" fillId="0" fontId="2" numFmtId="0" xfId="0" applyFont="1"/>
    <xf borderId="0" fillId="2" fontId="0" numFmtId="166" xfId="0" applyAlignment="1" applyFill="1" applyFont="1" applyNumberFormat="1">
      <alignment readingOrder="0"/>
    </xf>
    <xf borderId="0" fillId="0" fontId="1" numFmtId="0" xfId="0" applyFont="1"/>
    <xf borderId="0" fillId="0" fontId="4" numFmtId="166" xfId="0" applyAlignment="1" applyFont="1" applyNumberFormat="1">
      <alignment readingOrder="0"/>
    </xf>
    <xf borderId="0" fillId="0" fontId="0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/>
    </xf>
    <xf borderId="0" fillId="0" fontId="0" numFmtId="165" xfId="0" applyAlignment="1" applyFont="1" applyNumberFormat="1">
      <alignment horizontal="right" readingOrder="0" shrinkToFit="0" vertical="bottom" wrapText="0"/>
    </xf>
    <xf borderId="0" fillId="0" fontId="0" numFmtId="164" xfId="0" applyAlignment="1" applyFont="1" applyNumberFormat="1">
      <alignment readingOrder="0"/>
    </xf>
    <xf borderId="0" fillId="0" fontId="0" numFmtId="0" xfId="0" applyFont="1"/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0" numFmtId="49" xfId="0" applyAlignment="1" applyFont="1" applyNumberFormat="1">
      <alignment horizontal="right" readingOrder="0" shrinkToFit="0" vertical="bottom" wrapText="0"/>
    </xf>
    <xf borderId="0" fillId="0" fontId="0" numFmtId="49" xfId="0" applyAlignment="1" applyFont="1" applyNumberFormat="1">
      <alignment horizontal="right" readingOrder="0"/>
    </xf>
    <xf borderId="0" fillId="0" fontId="4" numFmtId="20" xfId="0" applyFont="1" applyNumberFormat="1"/>
    <xf borderId="0" fillId="2" fontId="0" numFmtId="0" xfId="0" applyAlignment="1" applyFill="1" applyFont="1">
      <alignment horizontal="right" readingOrder="0" shrinkToFit="0" vertical="bottom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49" xfId="0" applyAlignment="1" applyFont="1" applyNumberFormat="1">
      <alignment horizontal="right" vertical="bottom"/>
    </xf>
    <xf borderId="0" fillId="0" fontId="0" numFmtId="0" xfId="0" applyAlignment="1" applyFont="1">
      <alignment horizontal="right" readingOrder="0"/>
    </xf>
    <xf borderId="0" fillId="0" fontId="4" numFmtId="167" xfId="0" applyAlignment="1" applyFont="1" applyNumberFormat="1">
      <alignment readingOrder="0"/>
    </xf>
    <xf borderId="0" fillId="0" fontId="0" numFmtId="165" xfId="0" applyAlignment="1" applyFont="1" applyNumberFormat="1">
      <alignment readingOrder="0"/>
    </xf>
    <xf borderId="0" fillId="0" fontId="0" numFmtId="0" xfId="0" applyAlignment="1" applyFont="1">
      <alignment readingOrder="0" vertical="center"/>
    </xf>
    <xf borderId="0" fillId="0" fontId="0" numFmtId="49" xfId="0" applyAlignment="1" applyFont="1" applyNumberFormat="1">
      <alignment horizontal="right"/>
    </xf>
    <xf borderId="0" fillId="0" fontId="0" numFmtId="49" xfId="0" applyAlignment="1" applyFont="1" applyNumberFormat="1">
      <alignment readingOrder="0"/>
    </xf>
    <xf borderId="0" fillId="0" fontId="0" numFmtId="49" xfId="0" applyFont="1" applyNumberFormat="1"/>
    <xf borderId="0" fillId="0" fontId="5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olly Wilson" id="{76fcbcaa-0cb5-4743-9dd9-65b3604fb804}" providerId="google-sheets"/>
  <x18tc:person displayName="Molly Wilson" id="{4f89dbd6-4fd0-47ca-a87b-abfbf29ec27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06-12T16:33:49.00" personId="{76fcbcaa-0cb5-4743-9dd9-65b3604fb804}" id="{72f5ce17-427d-47d7-b1fd-62d5760bf313}" done="1">
    <x18tc:text xml:space="preserve">How is this the same...?</x18tc:text>
  </x18tc:threadedComment>
  <x18tc:threadedComment ref="A1" dT="2025-06-12T16:43:09.00" personId="{76fcbcaa-0cb5-4743-9dd9-65b3604fb804}" id="{294a3ac2-2469-4c56-a40b-fcbe6351a780}" done="0">
    <x18tc:text xml:space="preserve">Doesn't align with tag data?</x18tc:text>
  </x18tc:threadedComment>
  <x18tc:threadedComment ref="L9" dT="2025-07-02T15:46:40.00" personId="{76fcbcaa-0cb5-4743-9dd9-65b3604fb804}" id="{35561ffe-7edb-41bf-a4a6-c880fdc6cef8}" done="1">
    <x18tc:text xml:space="preserve">This is listed as a male in tagging data but as female in satellite tag dataset</x18tc:text>
  </x18tc:threadedComment>
  <x18tc:threadedComment ref="N20" dT="2025-07-02T14:37:30.00" personId="{76fcbcaa-0cb5-4743-9dd9-65b3604fb804}" id="{5ff71a42-97dc-4efa-ae74-b5b41b31988f}" done="1">
    <x18tc:text xml:space="preserve">Estimated from photo - fish box width is 75cm, other photos implied that length to pelvic fin is approximately half of the total length</x18tc:text>
  </x18tc:threadedComment>
  <x18tc:threadedComment ref="I10" dT="2025-07-02T15:46:24.00" personId="{76fcbcaa-0cb5-4743-9dd9-65b3604fb804}" id="{e90e4adc-df9c-42b0-be57-80e2a22d71d3}" done="1">
    <x18tc:text xml:space="preserve">This shark is listed in Tadzio's sat tag data, but not actual shark tagging dataset</x18tc:text>
  </x18tc:threadedComment>
  <x18tc:threadedComment ref="I10" dT="2026-09-30T20:12:55.00" personId="{4f89dbd6-4fd0-47ca-a87b-abfbf29ec277}" id="{5d24a32b-3fc4-447f-9d69-b46373508336}" parentId="{e90e4adc-df9c-42b0-be57-80e2a22d71d3}">
    <x18tc:text xml:space="preserve">From 12/XX/2023</x18tc:text>
  </x18tc:threadedComment>
  <x18tc:threadedComment ref="T9" dT="2025-09-02T20:31:27.00" personId="{76fcbcaa-0cb5-4743-9dd9-65b3604fb804}" id="{2df3faa0-68d0-44cc-8b43-b008cca02d9d}" done="1">
    <x18tc:text xml:space="preserve">Different in Tadzio's OG data</x18tc:text>
  </x18tc:threadedComment>
  <x18tc:threadedComment ref="T11" dT="2025-09-02T20:31:35.00" personId="{76fcbcaa-0cb5-4743-9dd9-65b3604fb804}" id="{70500d58-0f2c-4992-9851-e6a945af2069}" done="1">
    <x18tc:text xml:space="preserve">Different in Tadzio's OG data</x18tc:text>
  </x18tc:threadedComment>
  <x18tc:threadedComment ref="L9" dT="2026-02-27T16:48:30.00" personId="{76fcbcaa-0cb5-4743-9dd9-65b3604fb804}" id="{b83bbcd1-48d5-4fc7-b689-665c1b7577ed}" done="1">
    <x18tc:text xml:space="preserve">Changed based on sat data (male in tadzio's OG data)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7" max="8" width="12.63"/>
    <col customWidth="1" min="17" max="17" width="19.63"/>
    <col customWidth="1" min="18" max="18" width="11.13"/>
  </cols>
  <sheetData>
    <row r="1">
      <c r="A1" s="2" t="s">
        <v>1</v>
      </c>
      <c r="B1" s="2" t="s">
        <v>3</v>
      </c>
      <c r="C1" s="2" t="s">
        <v>11</v>
      </c>
      <c r="D1" s="2" t="s">
        <v>5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8" t="s">
        <v>19</v>
      </c>
      <c r="L1" s="2" t="s">
        <v>9</v>
      </c>
      <c r="M1" s="2" t="s">
        <v>26</v>
      </c>
      <c r="N1" s="2" t="s">
        <v>27</v>
      </c>
      <c r="O1" s="2" t="s">
        <v>29</v>
      </c>
      <c r="P1" s="2" t="s">
        <v>31</v>
      </c>
      <c r="Q1" s="2" t="s">
        <v>32</v>
      </c>
      <c r="R1" s="2" t="s">
        <v>34</v>
      </c>
      <c r="S1" s="2" t="s">
        <v>37</v>
      </c>
      <c r="T1" s="2" t="s">
        <v>38</v>
      </c>
      <c r="U1" s="2" t="s">
        <v>25</v>
      </c>
      <c r="V1" s="2" t="s">
        <v>39</v>
      </c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2">
      <c r="A2" s="14">
        <v>45247.0</v>
      </c>
      <c r="B2" s="16">
        <v>0.36041666666666666</v>
      </c>
      <c r="C2" s="19" t="s">
        <v>28</v>
      </c>
      <c r="D2" s="20" t="s">
        <v>46</v>
      </c>
      <c r="E2" s="19">
        <v>16.9975333333</v>
      </c>
      <c r="F2" s="19">
        <v>-61.7919333333</v>
      </c>
      <c r="G2" s="18"/>
      <c r="H2" s="18"/>
      <c r="I2" s="22" t="s">
        <v>49</v>
      </c>
      <c r="J2" s="19" t="s">
        <v>51</v>
      </c>
      <c r="K2" s="20" t="s">
        <v>52</v>
      </c>
      <c r="L2" s="19" t="s">
        <v>35</v>
      </c>
      <c r="M2" s="20" t="s">
        <v>53</v>
      </c>
      <c r="N2" s="25">
        <v>170.0</v>
      </c>
      <c r="O2" s="26">
        <v>157.0</v>
      </c>
      <c r="P2" s="26">
        <v>141.0</v>
      </c>
      <c r="Q2" s="27" t="s">
        <v>61</v>
      </c>
      <c r="R2" s="22" t="s">
        <v>62</v>
      </c>
      <c r="S2" s="28" t="s">
        <v>64</v>
      </c>
      <c r="T2" s="22" t="s">
        <v>53</v>
      </c>
      <c r="U2" s="1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</row>
    <row r="3">
      <c r="A3" s="14">
        <v>45247.0</v>
      </c>
      <c r="B3" s="16">
        <v>0.41388888888888886</v>
      </c>
      <c r="C3" s="19" t="s">
        <v>28</v>
      </c>
      <c r="D3" s="20" t="s">
        <v>46</v>
      </c>
      <c r="E3" s="19">
        <v>16.9975333333</v>
      </c>
      <c r="F3" s="19">
        <v>-61.7919333333</v>
      </c>
      <c r="G3" s="18"/>
      <c r="H3" s="18"/>
      <c r="I3" s="22" t="s">
        <v>72</v>
      </c>
      <c r="J3" s="19" t="s">
        <v>51</v>
      </c>
      <c r="K3" s="20" t="s">
        <v>52</v>
      </c>
      <c r="L3" s="19" t="s">
        <v>35</v>
      </c>
      <c r="M3" s="20" t="s">
        <v>53</v>
      </c>
      <c r="N3" s="25">
        <v>153.0</v>
      </c>
      <c r="O3" s="26">
        <v>129.0</v>
      </c>
      <c r="P3" s="26">
        <v>117.0</v>
      </c>
      <c r="Q3" s="27" t="s">
        <v>73</v>
      </c>
      <c r="R3" s="22" t="s">
        <v>62</v>
      </c>
      <c r="S3" s="28" t="s">
        <v>64</v>
      </c>
      <c r="T3" s="22" t="s">
        <v>53</v>
      </c>
      <c r="U3" s="1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</row>
    <row r="4">
      <c r="A4" s="14">
        <v>45247.0</v>
      </c>
      <c r="B4" s="16">
        <v>0.4583333333333333</v>
      </c>
      <c r="C4" s="19" t="s">
        <v>28</v>
      </c>
      <c r="D4" s="20" t="s">
        <v>46</v>
      </c>
      <c r="E4" s="19">
        <v>16.9975333333</v>
      </c>
      <c r="F4" s="19">
        <v>-61.7919333333</v>
      </c>
      <c r="G4" s="18"/>
      <c r="H4" s="18"/>
      <c r="I4" s="22" t="s">
        <v>86</v>
      </c>
      <c r="J4" s="19" t="s">
        <v>51</v>
      </c>
      <c r="K4" s="20" t="s">
        <v>52</v>
      </c>
      <c r="L4" s="19" t="s">
        <v>35</v>
      </c>
      <c r="M4" s="20" t="s">
        <v>53</v>
      </c>
      <c r="N4" s="25">
        <v>167.0</v>
      </c>
      <c r="O4" s="26">
        <v>140.0</v>
      </c>
      <c r="P4" s="26">
        <v>123.0</v>
      </c>
      <c r="Q4" s="27" t="s">
        <v>87</v>
      </c>
      <c r="R4" s="22" t="s">
        <v>62</v>
      </c>
      <c r="S4" s="28" t="s">
        <v>64</v>
      </c>
      <c r="T4" s="22" t="s">
        <v>53</v>
      </c>
      <c r="U4" s="1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</row>
    <row r="5">
      <c r="A5" s="14">
        <v>45247.0</v>
      </c>
      <c r="B5" s="16">
        <v>0.6041666666666666</v>
      </c>
      <c r="C5" s="19" t="s">
        <v>28</v>
      </c>
      <c r="D5" s="20" t="s">
        <v>30</v>
      </c>
      <c r="E5" s="19">
        <v>17.0429</v>
      </c>
      <c r="F5" s="20">
        <v>-61.9042</v>
      </c>
      <c r="G5" s="18"/>
      <c r="H5" s="18"/>
      <c r="I5" s="22" t="s">
        <v>89</v>
      </c>
      <c r="J5" s="19" t="s">
        <v>90</v>
      </c>
      <c r="K5" s="20" t="s">
        <v>33</v>
      </c>
      <c r="L5" s="19" t="s">
        <v>35</v>
      </c>
      <c r="M5" s="20" t="s">
        <v>53</v>
      </c>
      <c r="N5" s="25">
        <v>340.0</v>
      </c>
      <c r="O5" s="26">
        <v>289.0</v>
      </c>
      <c r="P5" s="26">
        <v>270.0</v>
      </c>
      <c r="Q5" s="27" t="s">
        <v>92</v>
      </c>
      <c r="R5" s="22" t="s">
        <v>62</v>
      </c>
      <c r="S5" s="28" t="s">
        <v>64</v>
      </c>
      <c r="T5" s="22" t="s">
        <v>53</v>
      </c>
      <c r="U5" s="1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</row>
    <row r="6">
      <c r="A6" s="14">
        <v>45248.0</v>
      </c>
      <c r="B6" s="16">
        <v>0.5173611111111112</v>
      </c>
      <c r="C6" s="19" t="s">
        <v>28</v>
      </c>
      <c r="D6" s="20" t="s">
        <v>46</v>
      </c>
      <c r="E6" s="19">
        <v>16.9975333333</v>
      </c>
      <c r="F6" s="19">
        <v>-61.7919333333</v>
      </c>
      <c r="G6" s="18"/>
      <c r="H6" s="18"/>
      <c r="I6" s="22" t="s">
        <v>94</v>
      </c>
      <c r="J6" s="19" t="s">
        <v>51</v>
      </c>
      <c r="K6" s="20" t="s">
        <v>52</v>
      </c>
      <c r="L6" s="19" t="s">
        <v>35</v>
      </c>
      <c r="M6" s="20" t="s">
        <v>53</v>
      </c>
      <c r="N6" s="25">
        <v>180.0</v>
      </c>
      <c r="O6" s="26">
        <v>152.0</v>
      </c>
      <c r="P6" s="26">
        <v>142.0</v>
      </c>
      <c r="Q6" s="27" t="s">
        <v>95</v>
      </c>
      <c r="R6" s="22" t="s">
        <v>62</v>
      </c>
      <c r="S6" s="28" t="s">
        <v>64</v>
      </c>
      <c r="T6" s="22" t="s">
        <v>53</v>
      </c>
      <c r="U6" s="1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</row>
    <row r="7">
      <c r="A7" s="14">
        <v>45248.0</v>
      </c>
      <c r="B7" s="16">
        <v>0.5479166666666667</v>
      </c>
      <c r="C7" s="19" t="s">
        <v>28</v>
      </c>
      <c r="D7" s="20" t="s">
        <v>46</v>
      </c>
      <c r="E7" s="19">
        <v>16.9975333333</v>
      </c>
      <c r="F7" s="19">
        <v>-61.7919333333</v>
      </c>
      <c r="G7" s="18"/>
      <c r="H7" s="18"/>
      <c r="I7" s="22" t="s">
        <v>97</v>
      </c>
      <c r="J7" s="19" t="s">
        <v>51</v>
      </c>
      <c r="K7" s="20" t="s">
        <v>52</v>
      </c>
      <c r="L7" s="19" t="s">
        <v>35</v>
      </c>
      <c r="M7" s="20" t="s">
        <v>53</v>
      </c>
      <c r="N7" s="25">
        <v>214.0</v>
      </c>
      <c r="O7" s="26">
        <v>172.0</v>
      </c>
      <c r="P7" s="26">
        <v>158.0</v>
      </c>
      <c r="Q7" s="27" t="s">
        <v>98</v>
      </c>
      <c r="R7" s="22" t="s">
        <v>62</v>
      </c>
      <c r="S7" s="28" t="s">
        <v>64</v>
      </c>
      <c r="T7" s="22" t="s">
        <v>53</v>
      </c>
      <c r="U7" s="1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</row>
    <row r="8">
      <c r="A8" s="17">
        <v>45276.0</v>
      </c>
      <c r="B8" s="30">
        <v>0.7243055555555555</v>
      </c>
      <c r="C8" s="20" t="s">
        <v>82</v>
      </c>
      <c r="D8" s="20" t="s">
        <v>99</v>
      </c>
      <c r="E8" s="20">
        <v>17.57545</v>
      </c>
      <c r="F8" s="20">
        <v>-61.84495</v>
      </c>
      <c r="G8" s="18"/>
      <c r="H8" s="18"/>
      <c r="I8" s="22" t="s">
        <v>100</v>
      </c>
      <c r="J8" s="20" t="s">
        <v>90</v>
      </c>
      <c r="K8" s="20" t="s">
        <v>33</v>
      </c>
      <c r="L8" s="19" t="s">
        <v>35</v>
      </c>
      <c r="M8" s="20" t="s">
        <v>53</v>
      </c>
      <c r="N8" s="25">
        <v>229.0</v>
      </c>
      <c r="O8" s="26">
        <v>189.0</v>
      </c>
      <c r="P8" s="26">
        <v>168.0</v>
      </c>
      <c r="Q8" s="22" t="s">
        <v>101</v>
      </c>
      <c r="R8" s="26" t="s">
        <v>62</v>
      </c>
      <c r="S8" s="28" t="s">
        <v>62</v>
      </c>
      <c r="T8" s="22" t="s">
        <v>102</v>
      </c>
      <c r="U8" s="20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</row>
    <row r="9">
      <c r="A9" s="17">
        <v>45278.0</v>
      </c>
      <c r="B9" s="30">
        <v>0.44375</v>
      </c>
      <c r="C9" s="19" t="s">
        <v>28</v>
      </c>
      <c r="D9" s="20" t="s">
        <v>46</v>
      </c>
      <c r="E9" s="19">
        <v>16.9975333333</v>
      </c>
      <c r="F9" s="19">
        <v>-61.7919333333</v>
      </c>
      <c r="G9" s="18"/>
      <c r="H9" s="18"/>
      <c r="I9" s="22" t="s">
        <v>103</v>
      </c>
      <c r="J9" s="20" t="s">
        <v>51</v>
      </c>
      <c r="K9" s="20" t="s">
        <v>52</v>
      </c>
      <c r="L9" s="19" t="s">
        <v>35</v>
      </c>
      <c r="M9" s="20" t="s">
        <v>53</v>
      </c>
      <c r="N9" s="26">
        <v>172.0</v>
      </c>
      <c r="O9" s="26">
        <v>148.0</v>
      </c>
      <c r="P9" s="26">
        <v>134.0</v>
      </c>
      <c r="Q9" s="22" t="s">
        <v>104</v>
      </c>
      <c r="R9" s="26" t="s">
        <v>62</v>
      </c>
      <c r="S9" s="28" t="s">
        <v>62</v>
      </c>
      <c r="T9" s="22" t="s">
        <v>105</v>
      </c>
      <c r="U9" s="19" t="s">
        <v>106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</row>
    <row r="10">
      <c r="A10" s="17"/>
      <c r="B10" s="18"/>
      <c r="C10" s="19"/>
      <c r="D10" s="20"/>
      <c r="E10" s="31"/>
      <c r="F10" s="20"/>
      <c r="G10" s="18"/>
      <c r="H10" s="18"/>
      <c r="I10" s="22"/>
      <c r="J10" s="20" t="s">
        <v>51</v>
      </c>
      <c r="K10" s="20" t="s">
        <v>52</v>
      </c>
      <c r="L10" s="19" t="s">
        <v>35</v>
      </c>
      <c r="M10" s="20" t="s">
        <v>53</v>
      </c>
      <c r="N10" s="26"/>
      <c r="O10" s="26"/>
      <c r="P10" s="26"/>
      <c r="Q10" s="23"/>
      <c r="R10" s="26"/>
      <c r="S10" s="28" t="s">
        <v>62</v>
      </c>
      <c r="T10" s="22" t="s">
        <v>107</v>
      </c>
      <c r="U10" s="19" t="s">
        <v>108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</row>
    <row r="11">
      <c r="A11" s="17">
        <v>45278.0</v>
      </c>
      <c r="B11" s="30">
        <v>0.6791666666666667</v>
      </c>
      <c r="C11" s="19" t="s">
        <v>28</v>
      </c>
      <c r="D11" s="20" t="s">
        <v>30</v>
      </c>
      <c r="E11" s="19">
        <v>17.03195</v>
      </c>
      <c r="F11" s="20">
        <v>-61.91175</v>
      </c>
      <c r="G11" s="18"/>
      <c r="H11" s="18"/>
      <c r="I11" s="22" t="s">
        <v>109</v>
      </c>
      <c r="J11" s="20" t="s">
        <v>90</v>
      </c>
      <c r="K11" s="20" t="s">
        <v>33</v>
      </c>
      <c r="L11" s="19" t="s">
        <v>35</v>
      </c>
      <c r="M11" s="20" t="s">
        <v>53</v>
      </c>
      <c r="N11" s="26">
        <v>251.0</v>
      </c>
      <c r="O11" s="26">
        <v>196.0</v>
      </c>
      <c r="P11" s="26">
        <v>192.0</v>
      </c>
      <c r="Q11" s="22" t="s">
        <v>110</v>
      </c>
      <c r="R11" s="28" t="s">
        <v>62</v>
      </c>
      <c r="S11" s="28" t="s">
        <v>62</v>
      </c>
      <c r="T11" s="32" t="s">
        <v>111</v>
      </c>
      <c r="U11" s="19" t="s">
        <v>112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</row>
    <row r="12">
      <c r="A12" s="17">
        <v>45829.0</v>
      </c>
      <c r="B12" s="30">
        <v>0.5625</v>
      </c>
      <c r="C12" s="20" t="s">
        <v>28</v>
      </c>
      <c r="D12" s="20" t="s">
        <v>30</v>
      </c>
      <c r="E12" s="20">
        <v>17.03526</v>
      </c>
      <c r="F12" s="20">
        <v>-61.91842</v>
      </c>
      <c r="G12" s="33" t="s">
        <v>113</v>
      </c>
      <c r="H12" s="33" t="s">
        <v>114</v>
      </c>
      <c r="I12" s="23" t="s">
        <v>50</v>
      </c>
      <c r="J12" s="20" t="s">
        <v>90</v>
      </c>
      <c r="K12" s="20" t="s">
        <v>33</v>
      </c>
      <c r="L12" s="20" t="s">
        <v>35</v>
      </c>
      <c r="M12" s="20" t="s">
        <v>53</v>
      </c>
      <c r="N12" s="20">
        <v>262.0</v>
      </c>
      <c r="O12" s="20">
        <v>215.0</v>
      </c>
      <c r="P12" s="20">
        <v>196.0</v>
      </c>
      <c r="Q12" s="23" t="s">
        <v>54</v>
      </c>
      <c r="R12" s="28" t="s">
        <v>62</v>
      </c>
      <c r="S12" s="28" t="s">
        <v>62</v>
      </c>
      <c r="T12" s="23" t="s">
        <v>55</v>
      </c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</row>
    <row r="13">
      <c r="A13" s="17">
        <v>45830.0</v>
      </c>
      <c r="B13" s="30">
        <v>0.3548611111111111</v>
      </c>
      <c r="C13" s="20" t="s">
        <v>28</v>
      </c>
      <c r="D13" s="20" t="s">
        <v>30</v>
      </c>
      <c r="E13" s="20">
        <v>17.03296</v>
      </c>
      <c r="F13" s="20">
        <v>-61.91388</v>
      </c>
      <c r="G13" s="33" t="s">
        <v>113</v>
      </c>
      <c r="H13" s="33" t="s">
        <v>115</v>
      </c>
      <c r="I13" s="23" t="s">
        <v>58</v>
      </c>
      <c r="J13" s="20" t="s">
        <v>116</v>
      </c>
      <c r="K13" s="20" t="s">
        <v>59</v>
      </c>
      <c r="L13" s="20" t="s">
        <v>35</v>
      </c>
      <c r="M13" s="20" t="s">
        <v>53</v>
      </c>
      <c r="N13" s="20">
        <v>118.0</v>
      </c>
      <c r="O13" s="20">
        <v>102.0</v>
      </c>
      <c r="P13" s="20">
        <v>87.0</v>
      </c>
      <c r="Q13" s="23" t="s">
        <v>60</v>
      </c>
      <c r="R13" s="28" t="s">
        <v>62</v>
      </c>
      <c r="S13" s="28" t="s">
        <v>64</v>
      </c>
      <c r="T13" s="23" t="s">
        <v>53</v>
      </c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</row>
    <row r="14">
      <c r="A14" s="17">
        <v>45830.0</v>
      </c>
      <c r="B14" s="30">
        <v>0.6298611111111111</v>
      </c>
      <c r="C14" s="20" t="s">
        <v>28</v>
      </c>
      <c r="D14" s="20" t="s">
        <v>30</v>
      </c>
      <c r="E14" s="20">
        <v>17.03535</v>
      </c>
      <c r="F14" s="20">
        <v>-61.91845</v>
      </c>
      <c r="G14" s="33" t="s">
        <v>113</v>
      </c>
      <c r="H14" s="33" t="s">
        <v>117</v>
      </c>
      <c r="I14" s="23" t="s">
        <v>63</v>
      </c>
      <c r="J14" s="20" t="s">
        <v>90</v>
      </c>
      <c r="K14" s="20" t="s">
        <v>33</v>
      </c>
      <c r="L14" s="20" t="s">
        <v>35</v>
      </c>
      <c r="M14" s="20" t="s">
        <v>53</v>
      </c>
      <c r="N14" s="20">
        <v>292.0</v>
      </c>
      <c r="O14" s="20">
        <v>258.0</v>
      </c>
      <c r="P14" s="20">
        <v>245.0</v>
      </c>
      <c r="Q14" s="23" t="s">
        <v>65</v>
      </c>
      <c r="R14" s="28" t="s">
        <v>62</v>
      </c>
      <c r="S14" s="28" t="s">
        <v>62</v>
      </c>
      <c r="T14" s="23" t="s">
        <v>66</v>
      </c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</row>
    <row r="15">
      <c r="A15" s="17">
        <v>45833.0</v>
      </c>
      <c r="B15" s="30">
        <v>0.36319444444444443</v>
      </c>
      <c r="C15" s="20" t="s">
        <v>28</v>
      </c>
      <c r="D15" s="20" t="s">
        <v>30</v>
      </c>
      <c r="E15" s="20">
        <v>17.03425</v>
      </c>
      <c r="F15" s="20">
        <v>-61.91316</v>
      </c>
      <c r="G15" s="33" t="s">
        <v>53</v>
      </c>
      <c r="H15" s="33"/>
      <c r="I15" s="23" t="s">
        <v>67</v>
      </c>
      <c r="J15" s="20" t="s">
        <v>90</v>
      </c>
      <c r="K15" s="20" t="s">
        <v>33</v>
      </c>
      <c r="L15" s="20" t="s">
        <v>35</v>
      </c>
      <c r="M15" s="20" t="s">
        <v>53</v>
      </c>
      <c r="N15" s="20">
        <v>249.0</v>
      </c>
      <c r="O15" s="20">
        <v>236.0</v>
      </c>
      <c r="P15" s="20">
        <v>183.0</v>
      </c>
      <c r="Q15" s="23" t="s">
        <v>68</v>
      </c>
      <c r="R15" s="28" t="s">
        <v>62</v>
      </c>
      <c r="S15" s="28" t="s">
        <v>62</v>
      </c>
      <c r="T15" s="23" t="s">
        <v>69</v>
      </c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</row>
    <row r="16">
      <c r="A16" s="17">
        <v>45833.0</v>
      </c>
      <c r="B16" s="30">
        <v>0.375</v>
      </c>
      <c r="C16" s="20" t="s">
        <v>28</v>
      </c>
      <c r="D16" s="20" t="s">
        <v>30</v>
      </c>
      <c r="E16" s="20">
        <v>17.03425</v>
      </c>
      <c r="F16" s="20">
        <v>-61.91316</v>
      </c>
      <c r="G16" s="33" t="s">
        <v>53</v>
      </c>
      <c r="H16" s="33"/>
      <c r="I16" s="23" t="s">
        <v>70</v>
      </c>
      <c r="J16" s="20" t="s">
        <v>116</v>
      </c>
      <c r="K16" s="20" t="s">
        <v>59</v>
      </c>
      <c r="L16" s="20" t="s">
        <v>35</v>
      </c>
      <c r="M16" s="20" t="s">
        <v>53</v>
      </c>
      <c r="N16" s="20">
        <v>85.0</v>
      </c>
      <c r="O16" s="20">
        <v>70.0</v>
      </c>
      <c r="P16" s="20">
        <v>62.0</v>
      </c>
      <c r="Q16" s="23" t="s">
        <v>71</v>
      </c>
      <c r="R16" s="28" t="s">
        <v>62</v>
      </c>
      <c r="S16" s="28" t="s">
        <v>64</v>
      </c>
      <c r="T16" s="23" t="s">
        <v>53</v>
      </c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>
      <c r="A17" s="17">
        <v>45833.0</v>
      </c>
      <c r="B17" s="30">
        <v>0.4201388888888889</v>
      </c>
      <c r="C17" s="20" t="s">
        <v>28</v>
      </c>
      <c r="D17" s="20" t="s">
        <v>30</v>
      </c>
      <c r="E17" s="20">
        <v>17.03425</v>
      </c>
      <c r="F17" s="20">
        <v>-61.91316</v>
      </c>
      <c r="G17" s="33" t="s">
        <v>53</v>
      </c>
      <c r="H17" s="33"/>
      <c r="I17" s="23" t="s">
        <v>74</v>
      </c>
      <c r="J17" s="20" t="s">
        <v>116</v>
      </c>
      <c r="K17" s="20" t="s">
        <v>59</v>
      </c>
      <c r="L17" s="20" t="s">
        <v>76</v>
      </c>
      <c r="M17" s="20" t="s">
        <v>118</v>
      </c>
      <c r="N17" s="20">
        <v>155.0</v>
      </c>
      <c r="O17" s="20">
        <v>123.0</v>
      </c>
      <c r="P17" s="20">
        <v>110.0</v>
      </c>
      <c r="Q17" s="23" t="s">
        <v>77</v>
      </c>
      <c r="R17" s="28" t="s">
        <v>62</v>
      </c>
      <c r="S17" s="28" t="s">
        <v>64</v>
      </c>
      <c r="T17" s="23" t="s">
        <v>53</v>
      </c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</row>
    <row r="18">
      <c r="A18" s="17">
        <v>45834.0</v>
      </c>
      <c r="B18" s="30">
        <v>0.7222222222222222</v>
      </c>
      <c r="C18" s="20" t="s">
        <v>28</v>
      </c>
      <c r="D18" s="20" t="s">
        <v>30</v>
      </c>
      <c r="E18" s="20">
        <v>17.03326</v>
      </c>
      <c r="F18" s="20">
        <v>-61.91339</v>
      </c>
      <c r="G18" s="33" t="s">
        <v>119</v>
      </c>
      <c r="H18" s="33"/>
      <c r="I18" s="23" t="s">
        <v>79</v>
      </c>
      <c r="J18" s="20" t="s">
        <v>90</v>
      </c>
      <c r="K18" s="20" t="s">
        <v>33</v>
      </c>
      <c r="L18" s="20" t="s">
        <v>35</v>
      </c>
      <c r="M18" s="20" t="s">
        <v>53</v>
      </c>
      <c r="N18" s="20">
        <v>337.0</v>
      </c>
      <c r="O18" s="20">
        <v>263.0</v>
      </c>
      <c r="P18" s="20">
        <v>252.0</v>
      </c>
      <c r="Q18" s="23" t="s">
        <v>80</v>
      </c>
      <c r="R18" s="28" t="s">
        <v>62</v>
      </c>
      <c r="S18" s="28" t="s">
        <v>62</v>
      </c>
      <c r="T18" s="23" t="s">
        <v>81</v>
      </c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</row>
    <row r="19">
      <c r="A19" s="17">
        <v>45835.0</v>
      </c>
      <c r="B19" s="30">
        <v>0.4930555555555556</v>
      </c>
      <c r="C19" s="20" t="s">
        <v>28</v>
      </c>
      <c r="D19" s="20" t="s">
        <v>30</v>
      </c>
      <c r="E19" s="20">
        <v>17.03358</v>
      </c>
      <c r="F19" s="20">
        <v>-61.9159</v>
      </c>
      <c r="G19" s="33" t="s">
        <v>53</v>
      </c>
      <c r="H19" s="34"/>
      <c r="I19" s="23" t="s">
        <v>84</v>
      </c>
      <c r="J19" s="20" t="s">
        <v>116</v>
      </c>
      <c r="K19" s="20" t="s">
        <v>59</v>
      </c>
      <c r="L19" s="20" t="s">
        <v>35</v>
      </c>
      <c r="M19" s="20" t="s">
        <v>53</v>
      </c>
      <c r="N19" s="20">
        <v>205.0</v>
      </c>
      <c r="O19" s="20">
        <v>164.0</v>
      </c>
      <c r="P19" s="20">
        <v>155.0</v>
      </c>
      <c r="Q19" s="23" t="s">
        <v>85</v>
      </c>
      <c r="R19" s="28" t="s">
        <v>62</v>
      </c>
      <c r="S19" s="28" t="s">
        <v>64</v>
      </c>
      <c r="T19" s="23" t="s">
        <v>53</v>
      </c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</row>
    <row r="20">
      <c r="A20" s="17">
        <v>45835.0</v>
      </c>
      <c r="B20" s="30">
        <v>0.6416666666666667</v>
      </c>
      <c r="C20" s="20" t="s">
        <v>28</v>
      </c>
      <c r="D20" s="20" t="s">
        <v>30</v>
      </c>
      <c r="E20" s="20">
        <v>17.05387</v>
      </c>
      <c r="F20" s="20">
        <v>-61.91577</v>
      </c>
      <c r="G20" s="33" t="s">
        <v>53</v>
      </c>
      <c r="H20" s="34"/>
      <c r="I20" s="23" t="s">
        <v>53</v>
      </c>
      <c r="J20" s="20" t="s">
        <v>90</v>
      </c>
      <c r="K20" s="20" t="s">
        <v>33</v>
      </c>
      <c r="L20" s="20" t="s">
        <v>35</v>
      </c>
      <c r="M20" s="20" t="s">
        <v>53</v>
      </c>
      <c r="N20" s="18">
        <f>75*2</f>
        <v>150</v>
      </c>
      <c r="O20" s="28" t="s">
        <v>53</v>
      </c>
      <c r="P20" s="28" t="s">
        <v>53</v>
      </c>
      <c r="Q20" s="23" t="s">
        <v>53</v>
      </c>
      <c r="R20" s="28" t="s">
        <v>62</v>
      </c>
      <c r="S20" s="28" t="s">
        <v>64</v>
      </c>
      <c r="T20" s="23" t="s">
        <v>53</v>
      </c>
      <c r="U20" s="20" t="s">
        <v>120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</row>
    <row r="21">
      <c r="K21" s="18"/>
    </row>
    <row r="22">
      <c r="E22" s="35"/>
      <c r="K22" s="18"/>
    </row>
    <row r="23">
      <c r="E23" s="35"/>
      <c r="K23" s="18"/>
    </row>
    <row r="24">
      <c r="K24" s="18"/>
    </row>
    <row r="25">
      <c r="K25" s="18"/>
    </row>
    <row r="26">
      <c r="K26" s="18"/>
    </row>
    <row r="27">
      <c r="K27" s="18"/>
    </row>
    <row r="28">
      <c r="K28" s="18"/>
    </row>
    <row r="29">
      <c r="K29" s="18"/>
    </row>
    <row r="30">
      <c r="K30" s="18"/>
    </row>
    <row r="31">
      <c r="K31" s="18"/>
    </row>
    <row r="32">
      <c r="K32" s="18"/>
    </row>
    <row r="33">
      <c r="K33" s="18"/>
    </row>
    <row r="34">
      <c r="K34" s="18"/>
    </row>
    <row r="35">
      <c r="K35" s="18"/>
    </row>
    <row r="36">
      <c r="K36" s="18"/>
    </row>
    <row r="37">
      <c r="K37" s="18"/>
    </row>
    <row r="38">
      <c r="K38" s="18"/>
    </row>
    <row r="39">
      <c r="K39" s="18"/>
    </row>
    <row r="40">
      <c r="K40" s="18"/>
    </row>
    <row r="41">
      <c r="K41" s="18"/>
    </row>
    <row r="42">
      <c r="K42" s="18"/>
    </row>
    <row r="43">
      <c r="K43" s="18"/>
    </row>
    <row r="44">
      <c r="K44" s="18"/>
    </row>
    <row r="45">
      <c r="K45" s="18"/>
    </row>
    <row r="46">
      <c r="K46" s="18"/>
    </row>
    <row r="47">
      <c r="K47" s="18"/>
    </row>
    <row r="48">
      <c r="K48" s="18"/>
    </row>
    <row r="49">
      <c r="K49" s="18"/>
    </row>
    <row r="50">
      <c r="K50" s="18"/>
    </row>
    <row r="51">
      <c r="K51" s="18"/>
    </row>
    <row r="52">
      <c r="K52" s="18"/>
    </row>
    <row r="53">
      <c r="K53" s="18"/>
    </row>
    <row r="54">
      <c r="K54" s="18"/>
    </row>
    <row r="55">
      <c r="K55" s="18"/>
    </row>
    <row r="56">
      <c r="K56" s="18"/>
    </row>
    <row r="57">
      <c r="K57" s="18"/>
    </row>
    <row r="58">
      <c r="K58" s="18"/>
    </row>
    <row r="59">
      <c r="K59" s="18"/>
    </row>
    <row r="60">
      <c r="K60" s="18"/>
    </row>
    <row r="61">
      <c r="K61" s="18"/>
    </row>
    <row r="62">
      <c r="K62" s="18"/>
    </row>
    <row r="63">
      <c r="K63" s="18"/>
    </row>
    <row r="64">
      <c r="K64" s="18"/>
    </row>
    <row r="65">
      <c r="K65" s="18"/>
    </row>
    <row r="66">
      <c r="K66" s="18"/>
    </row>
    <row r="67">
      <c r="K67" s="18"/>
    </row>
    <row r="68">
      <c r="K68" s="18"/>
    </row>
    <row r="69">
      <c r="K69" s="18"/>
    </row>
    <row r="70">
      <c r="K70" s="18"/>
    </row>
    <row r="71">
      <c r="K71" s="18"/>
    </row>
    <row r="72">
      <c r="K72" s="18"/>
    </row>
    <row r="73">
      <c r="K73" s="18"/>
    </row>
    <row r="74">
      <c r="K74" s="18"/>
    </row>
    <row r="75">
      <c r="K75" s="18"/>
    </row>
    <row r="76">
      <c r="K76" s="18"/>
    </row>
    <row r="77">
      <c r="K77" s="18"/>
    </row>
    <row r="78">
      <c r="K78" s="18"/>
    </row>
    <row r="79">
      <c r="K79" s="18"/>
    </row>
    <row r="80">
      <c r="K80" s="18"/>
    </row>
    <row r="81">
      <c r="K81" s="18"/>
    </row>
    <row r="82">
      <c r="K82" s="18"/>
    </row>
    <row r="83">
      <c r="K83" s="18"/>
    </row>
    <row r="84">
      <c r="K84" s="18"/>
    </row>
    <row r="85">
      <c r="K85" s="18"/>
    </row>
    <row r="86">
      <c r="K86" s="18"/>
    </row>
    <row r="87">
      <c r="K87" s="18"/>
    </row>
    <row r="88">
      <c r="K88" s="18"/>
    </row>
    <row r="89">
      <c r="K89" s="18"/>
    </row>
    <row r="90">
      <c r="K90" s="18"/>
    </row>
    <row r="91">
      <c r="K91" s="18"/>
    </row>
    <row r="92">
      <c r="K92" s="18"/>
    </row>
    <row r="93">
      <c r="K93" s="18"/>
    </row>
    <row r="94">
      <c r="K94" s="18"/>
    </row>
    <row r="95">
      <c r="K95" s="18"/>
    </row>
    <row r="96">
      <c r="K96" s="18"/>
    </row>
    <row r="97">
      <c r="K97" s="18"/>
    </row>
    <row r="98">
      <c r="K98" s="18"/>
    </row>
    <row r="99">
      <c r="K99" s="18"/>
    </row>
    <row r="100">
      <c r="K100" s="18"/>
    </row>
    <row r="101">
      <c r="K101" s="18"/>
    </row>
    <row r="102">
      <c r="K102" s="18"/>
    </row>
    <row r="103">
      <c r="K103" s="18"/>
    </row>
    <row r="104">
      <c r="K104" s="18"/>
    </row>
    <row r="105">
      <c r="K105" s="18"/>
    </row>
    <row r="106">
      <c r="K106" s="18"/>
    </row>
    <row r="107">
      <c r="K107" s="18"/>
    </row>
    <row r="108">
      <c r="K108" s="18"/>
    </row>
    <row r="109">
      <c r="K109" s="18"/>
    </row>
    <row r="110">
      <c r="K110" s="18"/>
    </row>
    <row r="111">
      <c r="K111" s="18"/>
    </row>
    <row r="112">
      <c r="K112" s="18"/>
    </row>
    <row r="113">
      <c r="K113" s="18"/>
    </row>
    <row r="114">
      <c r="K114" s="18"/>
    </row>
    <row r="115">
      <c r="K115" s="18"/>
    </row>
    <row r="116">
      <c r="K116" s="18"/>
    </row>
    <row r="117">
      <c r="K117" s="18"/>
    </row>
    <row r="118">
      <c r="K118" s="18"/>
    </row>
    <row r="119">
      <c r="K119" s="18"/>
    </row>
    <row r="120">
      <c r="K120" s="18"/>
    </row>
    <row r="121">
      <c r="K121" s="18"/>
    </row>
    <row r="122">
      <c r="K122" s="18"/>
    </row>
    <row r="123">
      <c r="K123" s="18"/>
    </row>
    <row r="124">
      <c r="K124" s="18"/>
    </row>
    <row r="125">
      <c r="K125" s="18"/>
    </row>
    <row r="126">
      <c r="K126" s="18"/>
    </row>
    <row r="127">
      <c r="K127" s="18"/>
    </row>
    <row r="128">
      <c r="K128" s="18"/>
    </row>
    <row r="129">
      <c r="K129" s="18"/>
    </row>
    <row r="130">
      <c r="K130" s="18"/>
    </row>
    <row r="131">
      <c r="K131" s="18"/>
    </row>
    <row r="132">
      <c r="K132" s="18"/>
    </row>
    <row r="133">
      <c r="K133" s="18"/>
    </row>
    <row r="134">
      <c r="K134" s="18"/>
    </row>
    <row r="135">
      <c r="K135" s="18"/>
    </row>
    <row r="136">
      <c r="K136" s="18"/>
    </row>
    <row r="137">
      <c r="K137" s="18"/>
    </row>
    <row r="138">
      <c r="K138" s="18"/>
    </row>
    <row r="139">
      <c r="K139" s="18"/>
    </row>
    <row r="140">
      <c r="K140" s="18"/>
    </row>
    <row r="141">
      <c r="K141" s="18"/>
    </row>
    <row r="142">
      <c r="K142" s="18"/>
    </row>
    <row r="143">
      <c r="K143" s="18"/>
    </row>
    <row r="144">
      <c r="K144" s="18"/>
    </row>
    <row r="145">
      <c r="K145" s="18"/>
    </row>
    <row r="146">
      <c r="K146" s="18"/>
    </row>
    <row r="147">
      <c r="K147" s="18"/>
    </row>
    <row r="148">
      <c r="K148" s="18"/>
    </row>
    <row r="149">
      <c r="K149" s="18"/>
    </row>
    <row r="150">
      <c r="K150" s="18"/>
    </row>
    <row r="151">
      <c r="K151" s="18"/>
    </row>
    <row r="152">
      <c r="K152" s="18"/>
    </row>
    <row r="153">
      <c r="K153" s="18"/>
    </row>
    <row r="154">
      <c r="K154" s="18"/>
    </row>
    <row r="155">
      <c r="K155" s="18"/>
    </row>
    <row r="156">
      <c r="K156" s="18"/>
    </row>
    <row r="157">
      <c r="K157" s="18"/>
    </row>
    <row r="158">
      <c r="K158" s="18"/>
    </row>
    <row r="159">
      <c r="K159" s="18"/>
    </row>
    <row r="160">
      <c r="K160" s="18"/>
    </row>
    <row r="161">
      <c r="K161" s="18"/>
    </row>
    <row r="162">
      <c r="K162" s="18"/>
    </row>
    <row r="163">
      <c r="K163" s="18"/>
    </row>
    <row r="164">
      <c r="K164" s="18"/>
    </row>
    <row r="165">
      <c r="K165" s="18"/>
    </row>
    <row r="166">
      <c r="K166" s="18"/>
    </row>
    <row r="167">
      <c r="K167" s="18"/>
    </row>
    <row r="168">
      <c r="K168" s="18"/>
    </row>
    <row r="169">
      <c r="K169" s="18"/>
    </row>
    <row r="170">
      <c r="K170" s="18"/>
    </row>
    <row r="171">
      <c r="K171" s="18"/>
    </row>
    <row r="172">
      <c r="K172" s="18"/>
    </row>
    <row r="173">
      <c r="K173" s="18"/>
    </row>
    <row r="174">
      <c r="K174" s="18"/>
    </row>
    <row r="175">
      <c r="K175" s="18"/>
    </row>
    <row r="176">
      <c r="K176" s="18"/>
    </row>
    <row r="177">
      <c r="K177" s="18"/>
    </row>
    <row r="178">
      <c r="K178" s="18"/>
    </row>
    <row r="179">
      <c r="K179" s="18"/>
    </row>
    <row r="180">
      <c r="K180" s="18"/>
    </row>
    <row r="181">
      <c r="K181" s="18"/>
    </row>
    <row r="182">
      <c r="K182" s="18"/>
    </row>
    <row r="183">
      <c r="K183" s="18"/>
    </row>
    <row r="184">
      <c r="K184" s="18"/>
    </row>
    <row r="185">
      <c r="K185" s="18"/>
    </row>
    <row r="186">
      <c r="K186" s="18"/>
    </row>
    <row r="187">
      <c r="K187" s="18"/>
    </row>
    <row r="188">
      <c r="K188" s="18"/>
    </row>
    <row r="189">
      <c r="K189" s="18"/>
    </row>
    <row r="190">
      <c r="K190" s="18"/>
    </row>
    <row r="191">
      <c r="K191" s="18"/>
    </row>
    <row r="192">
      <c r="K192" s="18"/>
    </row>
    <row r="193">
      <c r="K193" s="18"/>
    </row>
    <row r="194">
      <c r="K194" s="18"/>
    </row>
    <row r="195">
      <c r="K195" s="18"/>
    </row>
    <row r="196">
      <c r="K196" s="18"/>
    </row>
    <row r="197">
      <c r="K197" s="18"/>
    </row>
    <row r="198">
      <c r="K198" s="18"/>
    </row>
    <row r="199">
      <c r="K199" s="18"/>
    </row>
    <row r="200">
      <c r="K200" s="18"/>
    </row>
    <row r="201">
      <c r="K201" s="18"/>
    </row>
    <row r="202">
      <c r="K202" s="18"/>
    </row>
    <row r="203">
      <c r="K203" s="18"/>
    </row>
    <row r="204">
      <c r="K204" s="18"/>
    </row>
    <row r="205">
      <c r="K205" s="18"/>
    </row>
    <row r="206">
      <c r="K206" s="18"/>
    </row>
    <row r="207">
      <c r="K207" s="18"/>
    </row>
    <row r="208">
      <c r="K208" s="18"/>
    </row>
    <row r="209">
      <c r="K209" s="18"/>
    </row>
    <row r="210">
      <c r="K210" s="18"/>
    </row>
    <row r="211">
      <c r="K211" s="18"/>
    </row>
    <row r="212">
      <c r="K212" s="18"/>
    </row>
    <row r="213">
      <c r="K213" s="18"/>
    </row>
    <row r="214">
      <c r="K214" s="18"/>
    </row>
    <row r="215">
      <c r="K215" s="18"/>
    </row>
    <row r="216">
      <c r="K216" s="18"/>
    </row>
    <row r="217">
      <c r="K217" s="18"/>
    </row>
    <row r="218">
      <c r="K218" s="18"/>
    </row>
    <row r="219">
      <c r="K219" s="18"/>
    </row>
    <row r="220">
      <c r="K220" s="18"/>
    </row>
    <row r="221">
      <c r="K221" s="18"/>
    </row>
    <row r="222">
      <c r="K222" s="18"/>
    </row>
    <row r="223">
      <c r="K223" s="18"/>
    </row>
    <row r="224">
      <c r="K224" s="18"/>
    </row>
    <row r="225">
      <c r="K225" s="18"/>
    </row>
    <row r="226">
      <c r="K226" s="18"/>
    </row>
    <row r="227">
      <c r="K227" s="18"/>
    </row>
    <row r="228">
      <c r="K228" s="18"/>
    </row>
    <row r="229">
      <c r="K229" s="18"/>
    </row>
    <row r="230">
      <c r="K230" s="18"/>
    </row>
    <row r="231">
      <c r="K231" s="18"/>
    </row>
    <row r="232">
      <c r="K232" s="18"/>
    </row>
    <row r="233">
      <c r="K233" s="18"/>
    </row>
    <row r="234">
      <c r="K234" s="18"/>
    </row>
    <row r="235">
      <c r="K235" s="18"/>
    </row>
    <row r="236">
      <c r="K236" s="18"/>
    </row>
    <row r="237">
      <c r="K237" s="18"/>
    </row>
    <row r="238">
      <c r="K238" s="18"/>
    </row>
    <row r="239">
      <c r="K239" s="18"/>
    </row>
    <row r="240">
      <c r="K240" s="18"/>
    </row>
    <row r="241">
      <c r="K241" s="18"/>
    </row>
    <row r="242">
      <c r="K242" s="18"/>
    </row>
    <row r="243">
      <c r="K243" s="18"/>
    </row>
    <row r="244">
      <c r="K244" s="18"/>
    </row>
    <row r="245">
      <c r="K245" s="18"/>
    </row>
    <row r="246">
      <c r="K246" s="18"/>
    </row>
    <row r="247">
      <c r="K247" s="18"/>
    </row>
    <row r="248">
      <c r="K248" s="18"/>
    </row>
    <row r="249">
      <c r="K249" s="18"/>
    </row>
    <row r="250">
      <c r="K250" s="18"/>
    </row>
    <row r="251">
      <c r="K251" s="18"/>
    </row>
    <row r="252">
      <c r="K252" s="18"/>
    </row>
    <row r="253">
      <c r="K253" s="18"/>
    </row>
    <row r="254">
      <c r="K254" s="18"/>
    </row>
    <row r="255">
      <c r="K255" s="18"/>
    </row>
    <row r="256">
      <c r="K256" s="18"/>
    </row>
    <row r="257">
      <c r="K257" s="18"/>
    </row>
    <row r="258">
      <c r="K258" s="18"/>
    </row>
    <row r="259">
      <c r="K259" s="18"/>
    </row>
    <row r="260">
      <c r="K260" s="18"/>
    </row>
    <row r="261">
      <c r="K261" s="18"/>
    </row>
    <row r="262">
      <c r="K262" s="18"/>
    </row>
    <row r="263">
      <c r="K263" s="18"/>
    </row>
    <row r="264">
      <c r="K264" s="18"/>
    </row>
    <row r="265">
      <c r="K265" s="18"/>
    </row>
    <row r="266">
      <c r="K266" s="18"/>
    </row>
    <row r="267">
      <c r="K267" s="18"/>
    </row>
    <row r="268">
      <c r="K268" s="18"/>
    </row>
    <row r="269">
      <c r="K269" s="18"/>
    </row>
    <row r="270">
      <c r="K270" s="18"/>
    </row>
    <row r="271">
      <c r="K271" s="18"/>
    </row>
    <row r="272">
      <c r="K272" s="18"/>
    </row>
    <row r="273">
      <c r="K273" s="18"/>
    </row>
    <row r="274">
      <c r="K274" s="18"/>
    </row>
    <row r="275">
      <c r="K275" s="18"/>
    </row>
    <row r="276">
      <c r="K276" s="18"/>
    </row>
    <row r="277">
      <c r="K277" s="18"/>
    </row>
    <row r="278">
      <c r="K278" s="18"/>
    </row>
    <row r="279">
      <c r="K279" s="18"/>
    </row>
    <row r="280">
      <c r="K280" s="18"/>
    </row>
    <row r="281">
      <c r="K281" s="18"/>
    </row>
    <row r="282">
      <c r="K282" s="18"/>
    </row>
    <row r="283">
      <c r="K283" s="18"/>
    </row>
    <row r="284">
      <c r="K284" s="18"/>
    </row>
    <row r="285">
      <c r="K285" s="18"/>
    </row>
    <row r="286">
      <c r="K286" s="18"/>
    </row>
    <row r="287">
      <c r="K287" s="18"/>
    </row>
    <row r="288">
      <c r="K288" s="18"/>
    </row>
    <row r="289">
      <c r="K289" s="18"/>
    </row>
    <row r="290">
      <c r="K290" s="18"/>
    </row>
    <row r="291">
      <c r="K291" s="18"/>
    </row>
    <row r="292">
      <c r="K292" s="18"/>
    </row>
    <row r="293">
      <c r="K293" s="18"/>
    </row>
    <row r="294">
      <c r="K294" s="18"/>
    </row>
    <row r="295">
      <c r="K295" s="18"/>
    </row>
    <row r="296">
      <c r="K296" s="18"/>
    </row>
    <row r="297">
      <c r="K297" s="18"/>
    </row>
    <row r="298">
      <c r="K298" s="18"/>
    </row>
    <row r="299">
      <c r="K299" s="18"/>
    </row>
    <row r="300">
      <c r="K300" s="18"/>
    </row>
    <row r="301">
      <c r="K301" s="18"/>
    </row>
    <row r="302">
      <c r="K302" s="18"/>
    </row>
    <row r="303">
      <c r="K303" s="18"/>
    </row>
    <row r="304">
      <c r="K304" s="18"/>
    </row>
    <row r="305">
      <c r="K305" s="18"/>
    </row>
    <row r="306">
      <c r="K306" s="18"/>
    </row>
    <row r="307">
      <c r="K307" s="18"/>
    </row>
    <row r="308">
      <c r="K308" s="18"/>
    </row>
    <row r="309">
      <c r="K309" s="18"/>
    </row>
    <row r="310">
      <c r="K310" s="18"/>
    </row>
    <row r="311">
      <c r="K311" s="18"/>
    </row>
    <row r="312">
      <c r="K312" s="18"/>
    </row>
    <row r="313">
      <c r="K313" s="18"/>
    </row>
    <row r="314">
      <c r="K314" s="18"/>
    </row>
    <row r="315">
      <c r="K315" s="18"/>
    </row>
    <row r="316">
      <c r="K316" s="18"/>
    </row>
    <row r="317">
      <c r="K317" s="18"/>
    </row>
    <row r="318">
      <c r="K318" s="18"/>
    </row>
    <row r="319">
      <c r="K319" s="18"/>
    </row>
    <row r="320">
      <c r="K320" s="18"/>
    </row>
    <row r="321">
      <c r="K321" s="18"/>
    </row>
    <row r="322">
      <c r="K322" s="18"/>
    </row>
    <row r="323">
      <c r="K323" s="18"/>
    </row>
    <row r="324">
      <c r="K324" s="18"/>
    </row>
    <row r="325">
      <c r="K325" s="18"/>
    </row>
    <row r="326">
      <c r="K326" s="18"/>
    </row>
    <row r="327">
      <c r="K327" s="18"/>
    </row>
    <row r="328">
      <c r="K328" s="18"/>
    </row>
    <row r="329">
      <c r="K329" s="18"/>
    </row>
    <row r="330">
      <c r="K330" s="18"/>
    </row>
    <row r="331">
      <c r="K331" s="18"/>
    </row>
    <row r="332">
      <c r="K332" s="18"/>
    </row>
    <row r="333">
      <c r="K333" s="18"/>
    </row>
    <row r="334">
      <c r="K334" s="18"/>
    </row>
    <row r="335">
      <c r="K335" s="18"/>
    </row>
    <row r="336">
      <c r="K336" s="18"/>
    </row>
    <row r="337">
      <c r="K337" s="18"/>
    </row>
    <row r="338">
      <c r="K338" s="18"/>
    </row>
    <row r="339">
      <c r="K339" s="18"/>
    </row>
    <row r="340">
      <c r="K340" s="18"/>
    </row>
    <row r="341">
      <c r="K341" s="18"/>
    </row>
    <row r="342">
      <c r="K342" s="18"/>
    </row>
    <row r="343">
      <c r="K343" s="18"/>
    </row>
    <row r="344">
      <c r="K344" s="18"/>
    </row>
    <row r="345">
      <c r="K345" s="18"/>
    </row>
    <row r="346">
      <c r="K346" s="18"/>
    </row>
    <row r="347">
      <c r="K347" s="18"/>
    </row>
    <row r="348">
      <c r="K348" s="18"/>
    </row>
    <row r="349">
      <c r="K349" s="18"/>
    </row>
    <row r="350">
      <c r="K350" s="18"/>
    </row>
    <row r="351">
      <c r="K351" s="18"/>
    </row>
    <row r="352">
      <c r="K352" s="18"/>
    </row>
    <row r="353">
      <c r="K353" s="18"/>
    </row>
    <row r="354">
      <c r="K354" s="18"/>
    </row>
    <row r="355">
      <c r="K355" s="18"/>
    </row>
    <row r="356">
      <c r="K356" s="18"/>
    </row>
    <row r="357">
      <c r="K357" s="18"/>
    </row>
    <row r="358">
      <c r="K358" s="18"/>
    </row>
    <row r="359">
      <c r="K359" s="18"/>
    </row>
    <row r="360">
      <c r="K360" s="18"/>
    </row>
    <row r="361">
      <c r="K361" s="18"/>
    </row>
    <row r="362">
      <c r="K362" s="18"/>
    </row>
    <row r="363">
      <c r="K363" s="18"/>
    </row>
    <row r="364">
      <c r="K364" s="18"/>
    </row>
    <row r="365">
      <c r="K365" s="18"/>
    </row>
    <row r="366">
      <c r="K366" s="18"/>
    </row>
    <row r="367">
      <c r="K367" s="18"/>
    </row>
    <row r="368">
      <c r="K368" s="18"/>
    </row>
    <row r="369">
      <c r="K369" s="18"/>
    </row>
    <row r="370">
      <c r="K370" s="18"/>
    </row>
    <row r="371">
      <c r="K371" s="18"/>
    </row>
    <row r="372">
      <c r="K372" s="18"/>
    </row>
    <row r="373">
      <c r="K373" s="18"/>
    </row>
    <row r="374">
      <c r="K374" s="18"/>
    </row>
    <row r="375">
      <c r="K375" s="18"/>
    </row>
    <row r="376">
      <c r="K376" s="18"/>
    </row>
    <row r="377">
      <c r="K377" s="18"/>
    </row>
    <row r="378">
      <c r="K378" s="18"/>
    </row>
    <row r="379">
      <c r="K379" s="18"/>
    </row>
    <row r="380">
      <c r="K380" s="18"/>
    </row>
    <row r="381">
      <c r="K381" s="18"/>
    </row>
    <row r="382">
      <c r="K382" s="18"/>
    </row>
    <row r="383">
      <c r="K383" s="18"/>
    </row>
    <row r="384">
      <c r="K384" s="18"/>
    </row>
    <row r="385">
      <c r="K385" s="18"/>
    </row>
    <row r="386">
      <c r="K386" s="18"/>
    </row>
    <row r="387">
      <c r="K387" s="18"/>
    </row>
    <row r="388">
      <c r="K388" s="18"/>
    </row>
    <row r="389">
      <c r="K389" s="18"/>
    </row>
    <row r="390">
      <c r="K390" s="18"/>
    </row>
    <row r="391">
      <c r="K391" s="18"/>
    </row>
    <row r="392">
      <c r="K392" s="18"/>
    </row>
    <row r="393">
      <c r="K393" s="18"/>
    </row>
    <row r="394">
      <c r="K394" s="18"/>
    </row>
    <row r="395">
      <c r="K395" s="18"/>
    </row>
    <row r="396">
      <c r="K396" s="18"/>
    </row>
    <row r="397">
      <c r="K397" s="18"/>
    </row>
    <row r="398">
      <c r="K398" s="18"/>
    </row>
    <row r="399">
      <c r="K399" s="18"/>
    </row>
    <row r="400">
      <c r="K400" s="18"/>
    </row>
    <row r="401">
      <c r="K401" s="18"/>
    </row>
    <row r="402">
      <c r="K402" s="18"/>
    </row>
    <row r="403">
      <c r="K403" s="18"/>
    </row>
    <row r="404">
      <c r="K404" s="18"/>
    </row>
    <row r="405">
      <c r="K405" s="18"/>
    </row>
    <row r="406">
      <c r="K406" s="18"/>
    </row>
    <row r="407">
      <c r="K407" s="18"/>
    </row>
    <row r="408">
      <c r="K408" s="18"/>
    </row>
    <row r="409">
      <c r="K409" s="18"/>
    </row>
    <row r="410">
      <c r="K410" s="18"/>
    </row>
    <row r="411">
      <c r="K411" s="18"/>
    </row>
    <row r="412">
      <c r="K412" s="18"/>
    </row>
    <row r="413">
      <c r="K413" s="18"/>
    </row>
    <row r="414">
      <c r="K414" s="18"/>
    </row>
    <row r="415">
      <c r="K415" s="18"/>
    </row>
    <row r="416">
      <c r="K416" s="18"/>
    </row>
    <row r="417">
      <c r="K417" s="18"/>
    </row>
    <row r="418">
      <c r="K418" s="18"/>
    </row>
    <row r="419">
      <c r="K419" s="18"/>
    </row>
    <row r="420">
      <c r="K420" s="18"/>
    </row>
    <row r="421">
      <c r="K421" s="18"/>
    </row>
    <row r="422">
      <c r="K422" s="18"/>
    </row>
    <row r="423">
      <c r="K423" s="18"/>
    </row>
    <row r="424">
      <c r="K424" s="18"/>
    </row>
    <row r="425">
      <c r="K425" s="18"/>
    </row>
    <row r="426">
      <c r="K426" s="18"/>
    </row>
    <row r="427">
      <c r="K427" s="18"/>
    </row>
    <row r="428">
      <c r="K428" s="18"/>
    </row>
    <row r="429">
      <c r="K429" s="18"/>
    </row>
    <row r="430">
      <c r="K430" s="18"/>
    </row>
    <row r="431">
      <c r="K431" s="18"/>
    </row>
    <row r="432">
      <c r="K432" s="18"/>
    </row>
    <row r="433">
      <c r="K433" s="18"/>
    </row>
    <row r="434">
      <c r="K434" s="18"/>
    </row>
    <row r="435">
      <c r="K435" s="18"/>
    </row>
    <row r="436">
      <c r="K436" s="18"/>
    </row>
    <row r="437">
      <c r="K437" s="18"/>
    </row>
    <row r="438">
      <c r="K438" s="18"/>
    </row>
    <row r="439">
      <c r="K439" s="18"/>
    </row>
    <row r="440">
      <c r="K440" s="18"/>
    </row>
    <row r="441">
      <c r="K441" s="18"/>
    </row>
    <row r="442">
      <c r="K442" s="18"/>
    </row>
    <row r="443">
      <c r="K443" s="18"/>
    </row>
    <row r="444">
      <c r="K444" s="18"/>
    </row>
    <row r="445">
      <c r="K445" s="18"/>
    </row>
    <row r="446">
      <c r="K446" s="18"/>
    </row>
    <row r="447">
      <c r="K447" s="18"/>
    </row>
    <row r="448">
      <c r="K448" s="18"/>
    </row>
    <row r="449">
      <c r="K449" s="18"/>
    </row>
    <row r="450">
      <c r="K450" s="18"/>
    </row>
    <row r="451">
      <c r="K451" s="18"/>
    </row>
    <row r="452">
      <c r="K452" s="18"/>
    </row>
    <row r="453">
      <c r="K453" s="18"/>
    </row>
    <row r="454">
      <c r="K454" s="18"/>
    </row>
    <row r="455">
      <c r="K455" s="18"/>
    </row>
    <row r="456">
      <c r="K456" s="18"/>
    </row>
    <row r="457">
      <c r="K457" s="18"/>
    </row>
    <row r="458">
      <c r="K458" s="18"/>
    </row>
    <row r="459">
      <c r="K459" s="18"/>
    </row>
    <row r="460">
      <c r="K460" s="18"/>
    </row>
    <row r="461">
      <c r="K461" s="18"/>
    </row>
    <row r="462">
      <c r="K462" s="18"/>
    </row>
    <row r="463">
      <c r="K463" s="18"/>
    </row>
    <row r="464">
      <c r="K464" s="18"/>
    </row>
    <row r="465">
      <c r="K465" s="18"/>
    </row>
    <row r="466">
      <c r="K466" s="18"/>
    </row>
    <row r="467">
      <c r="K467" s="18"/>
    </row>
    <row r="468">
      <c r="K468" s="18"/>
    </row>
    <row r="469">
      <c r="K469" s="18"/>
    </row>
    <row r="470">
      <c r="K470" s="18"/>
    </row>
    <row r="471">
      <c r="K471" s="18"/>
    </row>
    <row r="472">
      <c r="K472" s="18"/>
    </row>
    <row r="473">
      <c r="K473" s="18"/>
    </row>
    <row r="474">
      <c r="K474" s="18"/>
    </row>
    <row r="475">
      <c r="K475" s="18"/>
    </row>
    <row r="476">
      <c r="K476" s="18"/>
    </row>
    <row r="477">
      <c r="K477" s="18"/>
    </row>
    <row r="478">
      <c r="K478" s="18"/>
    </row>
    <row r="479">
      <c r="K479" s="18"/>
    </row>
    <row r="480">
      <c r="K480" s="18"/>
    </row>
    <row r="481">
      <c r="K481" s="18"/>
    </row>
    <row r="482">
      <c r="K482" s="18"/>
    </row>
    <row r="483">
      <c r="K483" s="18"/>
    </row>
    <row r="484">
      <c r="K484" s="18"/>
    </row>
    <row r="485">
      <c r="K485" s="18"/>
    </row>
    <row r="486">
      <c r="K486" s="18"/>
    </row>
    <row r="487">
      <c r="K487" s="18"/>
    </row>
    <row r="488">
      <c r="K488" s="18"/>
    </row>
    <row r="489">
      <c r="K489" s="18"/>
    </row>
    <row r="490">
      <c r="K490" s="18"/>
    </row>
    <row r="491">
      <c r="K491" s="18"/>
    </row>
    <row r="492">
      <c r="K492" s="18"/>
    </row>
    <row r="493">
      <c r="K493" s="18"/>
    </row>
    <row r="494">
      <c r="K494" s="18"/>
    </row>
    <row r="495">
      <c r="K495" s="18"/>
    </row>
    <row r="496">
      <c r="K496" s="18"/>
    </row>
    <row r="497">
      <c r="K497" s="18"/>
    </row>
    <row r="498">
      <c r="K498" s="18"/>
    </row>
    <row r="499">
      <c r="K499" s="18"/>
    </row>
    <row r="500">
      <c r="K500" s="18"/>
    </row>
    <row r="501">
      <c r="K501" s="18"/>
    </row>
    <row r="502">
      <c r="K502" s="18"/>
    </row>
    <row r="503">
      <c r="K503" s="18"/>
    </row>
    <row r="504">
      <c r="K504" s="18"/>
    </row>
    <row r="505">
      <c r="K505" s="18"/>
    </row>
    <row r="506">
      <c r="K506" s="18"/>
    </row>
    <row r="507">
      <c r="K507" s="18"/>
    </row>
    <row r="508">
      <c r="K508" s="18"/>
    </row>
    <row r="509">
      <c r="K509" s="18"/>
    </row>
    <row r="510">
      <c r="K510" s="18"/>
    </row>
    <row r="511">
      <c r="K511" s="18"/>
    </row>
    <row r="512">
      <c r="K512" s="18"/>
    </row>
    <row r="513">
      <c r="K513" s="18"/>
    </row>
    <row r="514">
      <c r="K514" s="18"/>
    </row>
    <row r="515">
      <c r="K515" s="18"/>
    </row>
    <row r="516">
      <c r="K516" s="18"/>
    </row>
    <row r="517">
      <c r="K517" s="18"/>
    </row>
    <row r="518">
      <c r="K518" s="18"/>
    </row>
    <row r="519">
      <c r="K519" s="18"/>
    </row>
    <row r="520">
      <c r="K520" s="18"/>
    </row>
    <row r="521">
      <c r="K521" s="18"/>
    </row>
    <row r="522">
      <c r="K522" s="18"/>
    </row>
    <row r="523">
      <c r="K523" s="18"/>
    </row>
    <row r="524">
      <c r="K524" s="18"/>
    </row>
    <row r="525">
      <c r="K525" s="18"/>
    </row>
    <row r="526">
      <c r="K526" s="18"/>
    </row>
    <row r="527">
      <c r="K527" s="18"/>
    </row>
    <row r="528">
      <c r="K528" s="18"/>
    </row>
    <row r="529">
      <c r="K529" s="18"/>
    </row>
    <row r="530">
      <c r="K530" s="18"/>
    </row>
    <row r="531">
      <c r="K531" s="18"/>
    </row>
    <row r="532">
      <c r="K532" s="18"/>
    </row>
    <row r="533">
      <c r="K533" s="18"/>
    </row>
    <row r="534">
      <c r="K534" s="18"/>
    </row>
    <row r="535">
      <c r="K535" s="18"/>
    </row>
    <row r="536">
      <c r="K536" s="18"/>
    </row>
    <row r="537">
      <c r="K537" s="18"/>
    </row>
    <row r="538">
      <c r="K538" s="18"/>
    </row>
    <row r="539">
      <c r="K539" s="18"/>
    </row>
    <row r="540">
      <c r="K540" s="18"/>
    </row>
    <row r="541">
      <c r="K541" s="18"/>
    </row>
    <row r="542">
      <c r="K542" s="18"/>
    </row>
    <row r="543">
      <c r="K543" s="18"/>
    </row>
    <row r="544">
      <c r="K544" s="18"/>
    </row>
    <row r="545">
      <c r="K545" s="18"/>
    </row>
    <row r="546">
      <c r="K546" s="18"/>
    </row>
    <row r="547">
      <c r="K547" s="18"/>
    </row>
    <row r="548">
      <c r="K548" s="18"/>
    </row>
    <row r="549">
      <c r="K549" s="18"/>
    </row>
    <row r="550">
      <c r="K550" s="18"/>
    </row>
    <row r="551">
      <c r="K551" s="18"/>
    </row>
    <row r="552">
      <c r="K552" s="18"/>
    </row>
    <row r="553">
      <c r="K553" s="18"/>
    </row>
    <row r="554">
      <c r="K554" s="18"/>
    </row>
    <row r="555">
      <c r="K555" s="18"/>
    </row>
    <row r="556">
      <c r="K556" s="18"/>
    </row>
    <row r="557">
      <c r="K557" s="18"/>
    </row>
    <row r="558">
      <c r="K558" s="18"/>
    </row>
    <row r="559">
      <c r="K559" s="18"/>
    </row>
    <row r="560">
      <c r="K560" s="18"/>
    </row>
    <row r="561">
      <c r="K561" s="18"/>
    </row>
    <row r="562">
      <c r="K562" s="18"/>
    </row>
    <row r="563">
      <c r="K563" s="18"/>
    </row>
    <row r="564">
      <c r="K564" s="18"/>
    </row>
    <row r="565">
      <c r="K565" s="18"/>
    </row>
    <row r="566">
      <c r="K566" s="18"/>
    </row>
    <row r="567">
      <c r="K567" s="18"/>
    </row>
    <row r="568">
      <c r="K568" s="18"/>
    </row>
    <row r="569">
      <c r="K569" s="18"/>
    </row>
    <row r="570">
      <c r="K570" s="18"/>
    </row>
    <row r="571">
      <c r="K571" s="18"/>
    </row>
    <row r="572">
      <c r="K572" s="18"/>
    </row>
    <row r="573">
      <c r="K573" s="18"/>
    </row>
    <row r="574">
      <c r="K574" s="18"/>
    </row>
    <row r="575">
      <c r="K575" s="18"/>
    </row>
    <row r="576">
      <c r="K576" s="18"/>
    </row>
    <row r="577">
      <c r="K577" s="18"/>
    </row>
    <row r="578">
      <c r="K578" s="18"/>
    </row>
    <row r="579">
      <c r="K579" s="18"/>
    </row>
    <row r="580">
      <c r="K580" s="18"/>
    </row>
    <row r="581">
      <c r="K581" s="18"/>
    </row>
    <row r="582">
      <c r="K582" s="18"/>
    </row>
    <row r="583">
      <c r="K583" s="18"/>
    </row>
    <row r="584">
      <c r="K584" s="18"/>
    </row>
    <row r="585">
      <c r="K585" s="18"/>
    </row>
    <row r="586">
      <c r="K586" s="18"/>
    </row>
    <row r="587">
      <c r="K587" s="18"/>
    </row>
    <row r="588">
      <c r="K588" s="18"/>
    </row>
    <row r="589">
      <c r="K589" s="18"/>
    </row>
    <row r="590">
      <c r="K590" s="18"/>
    </row>
    <row r="591">
      <c r="K591" s="18"/>
    </row>
    <row r="592">
      <c r="K592" s="18"/>
    </row>
    <row r="593">
      <c r="K593" s="18"/>
    </row>
    <row r="594">
      <c r="K594" s="18"/>
    </row>
    <row r="595">
      <c r="K595" s="18"/>
    </row>
    <row r="596">
      <c r="K596" s="18"/>
    </row>
    <row r="597">
      <c r="K597" s="18"/>
    </row>
    <row r="598">
      <c r="K598" s="18"/>
    </row>
    <row r="599">
      <c r="K599" s="18"/>
    </row>
    <row r="600">
      <c r="K600" s="18"/>
    </row>
    <row r="601">
      <c r="K601" s="18"/>
    </row>
    <row r="602">
      <c r="K602" s="18"/>
    </row>
    <row r="603">
      <c r="K603" s="18"/>
    </row>
    <row r="604">
      <c r="K604" s="18"/>
    </row>
    <row r="605">
      <c r="K605" s="18"/>
    </row>
    <row r="606">
      <c r="K606" s="18"/>
    </row>
    <row r="607">
      <c r="K607" s="18"/>
    </row>
    <row r="608">
      <c r="K608" s="18"/>
    </row>
    <row r="609">
      <c r="K609" s="18"/>
    </row>
    <row r="610">
      <c r="K610" s="18"/>
    </row>
    <row r="611">
      <c r="K611" s="18"/>
    </row>
    <row r="612">
      <c r="K612" s="18"/>
    </row>
    <row r="613">
      <c r="K613" s="18"/>
    </row>
    <row r="614">
      <c r="K614" s="18"/>
    </row>
    <row r="615">
      <c r="K615" s="18"/>
    </row>
    <row r="616">
      <c r="K616" s="18"/>
    </row>
    <row r="617">
      <c r="K617" s="18"/>
    </row>
    <row r="618">
      <c r="K618" s="18"/>
    </row>
    <row r="619">
      <c r="K619" s="18"/>
    </row>
    <row r="620">
      <c r="K620" s="18"/>
    </row>
    <row r="621">
      <c r="K621" s="18"/>
    </row>
    <row r="622">
      <c r="K622" s="18"/>
    </row>
    <row r="623">
      <c r="K623" s="18"/>
    </row>
    <row r="624">
      <c r="K624" s="18"/>
    </row>
    <row r="625">
      <c r="K625" s="18"/>
    </row>
    <row r="626">
      <c r="K626" s="18"/>
    </row>
    <row r="627">
      <c r="K627" s="18"/>
    </row>
    <row r="628">
      <c r="K628" s="18"/>
    </row>
    <row r="629">
      <c r="K629" s="18"/>
    </row>
    <row r="630">
      <c r="K630" s="18"/>
    </row>
    <row r="631">
      <c r="K631" s="18"/>
    </row>
    <row r="632">
      <c r="K632" s="18"/>
    </row>
    <row r="633">
      <c r="K633" s="18"/>
    </row>
    <row r="634">
      <c r="K634" s="18"/>
    </row>
    <row r="635">
      <c r="K635" s="18"/>
    </row>
    <row r="636">
      <c r="K636" s="18"/>
    </row>
    <row r="637">
      <c r="K637" s="18"/>
    </row>
    <row r="638">
      <c r="K638" s="18"/>
    </row>
    <row r="639">
      <c r="K639" s="18"/>
    </row>
    <row r="640">
      <c r="K640" s="18"/>
    </row>
    <row r="641">
      <c r="K641" s="18"/>
    </row>
    <row r="642">
      <c r="K642" s="18"/>
    </row>
    <row r="643">
      <c r="K643" s="18"/>
    </row>
    <row r="644">
      <c r="K644" s="18"/>
    </row>
    <row r="645">
      <c r="K645" s="18"/>
    </row>
    <row r="646">
      <c r="K646" s="18"/>
    </row>
    <row r="647">
      <c r="K647" s="18"/>
    </row>
    <row r="648">
      <c r="K648" s="18"/>
    </row>
    <row r="649">
      <c r="K649" s="18"/>
    </row>
    <row r="650">
      <c r="K650" s="18"/>
    </row>
    <row r="651">
      <c r="K651" s="18"/>
    </row>
    <row r="652">
      <c r="K652" s="18"/>
    </row>
    <row r="653">
      <c r="K653" s="18"/>
    </row>
    <row r="654">
      <c r="K654" s="18"/>
    </row>
    <row r="655">
      <c r="K655" s="18"/>
    </row>
    <row r="656">
      <c r="K656" s="18"/>
    </row>
    <row r="657">
      <c r="K657" s="18"/>
    </row>
    <row r="658">
      <c r="K658" s="18"/>
    </row>
    <row r="659">
      <c r="K659" s="18"/>
    </row>
    <row r="660">
      <c r="K660" s="18"/>
    </row>
    <row r="661">
      <c r="K661" s="18"/>
    </row>
    <row r="662">
      <c r="K662" s="18"/>
    </row>
    <row r="663">
      <c r="K663" s="18"/>
    </row>
    <row r="664">
      <c r="K664" s="18"/>
    </row>
    <row r="665">
      <c r="K665" s="18"/>
    </row>
    <row r="666">
      <c r="K666" s="18"/>
    </row>
    <row r="667">
      <c r="K667" s="18"/>
    </row>
    <row r="668">
      <c r="K668" s="18"/>
    </row>
    <row r="669">
      <c r="K669" s="18"/>
    </row>
    <row r="670">
      <c r="K670" s="18"/>
    </row>
    <row r="671">
      <c r="K671" s="18"/>
    </row>
    <row r="672">
      <c r="K672" s="18"/>
    </row>
    <row r="673">
      <c r="K673" s="18"/>
    </row>
    <row r="674">
      <c r="K674" s="18"/>
    </row>
    <row r="675">
      <c r="K675" s="18"/>
    </row>
    <row r="676">
      <c r="K676" s="18"/>
    </row>
    <row r="677">
      <c r="K677" s="18"/>
    </row>
    <row r="678">
      <c r="K678" s="18"/>
    </row>
    <row r="679">
      <c r="K679" s="18"/>
    </row>
    <row r="680">
      <c r="K680" s="18"/>
    </row>
    <row r="681">
      <c r="K681" s="18"/>
    </row>
    <row r="682">
      <c r="K682" s="18"/>
    </row>
    <row r="683">
      <c r="K683" s="18"/>
    </row>
    <row r="684">
      <c r="K684" s="18"/>
    </row>
    <row r="685">
      <c r="K685" s="18"/>
    </row>
    <row r="686">
      <c r="K686" s="18"/>
    </row>
    <row r="687">
      <c r="K687" s="18"/>
    </row>
    <row r="688">
      <c r="K688" s="18"/>
    </row>
    <row r="689">
      <c r="K689" s="18"/>
    </row>
    <row r="690">
      <c r="K690" s="18"/>
    </row>
    <row r="691">
      <c r="K691" s="18"/>
    </row>
    <row r="692">
      <c r="K692" s="18"/>
    </row>
    <row r="693">
      <c r="K693" s="18"/>
    </row>
    <row r="694">
      <c r="K694" s="18"/>
    </row>
    <row r="695">
      <c r="K695" s="18"/>
    </row>
    <row r="696">
      <c r="K696" s="18"/>
    </row>
    <row r="697">
      <c r="K697" s="18"/>
    </row>
    <row r="698">
      <c r="K698" s="18"/>
    </row>
    <row r="699">
      <c r="K699" s="18"/>
    </row>
    <row r="700">
      <c r="K700" s="18"/>
    </row>
    <row r="701">
      <c r="K701" s="18"/>
    </row>
    <row r="702">
      <c r="K702" s="18"/>
    </row>
    <row r="703">
      <c r="K703" s="18"/>
    </row>
    <row r="704">
      <c r="K704" s="18"/>
    </row>
    <row r="705">
      <c r="K705" s="18"/>
    </row>
    <row r="706">
      <c r="K706" s="18"/>
    </row>
    <row r="707">
      <c r="K707" s="18"/>
    </row>
    <row r="708">
      <c r="K708" s="18"/>
    </row>
    <row r="709">
      <c r="K709" s="18"/>
    </row>
    <row r="710">
      <c r="K710" s="18"/>
    </row>
    <row r="711">
      <c r="K711" s="18"/>
    </row>
    <row r="712">
      <c r="K712" s="18"/>
    </row>
    <row r="713">
      <c r="K713" s="18"/>
    </row>
    <row r="714">
      <c r="K714" s="18"/>
    </row>
    <row r="715">
      <c r="K715" s="18"/>
    </row>
    <row r="716">
      <c r="K716" s="18"/>
    </row>
    <row r="717">
      <c r="K717" s="18"/>
    </row>
    <row r="718">
      <c r="K718" s="18"/>
    </row>
    <row r="719">
      <c r="K719" s="18"/>
    </row>
    <row r="720">
      <c r="K720" s="18"/>
    </row>
    <row r="721">
      <c r="K721" s="18"/>
    </row>
    <row r="722">
      <c r="K722" s="18"/>
    </row>
    <row r="723">
      <c r="K723" s="18"/>
    </row>
    <row r="724">
      <c r="K724" s="18"/>
    </row>
    <row r="725">
      <c r="K725" s="18"/>
    </row>
    <row r="726">
      <c r="K726" s="18"/>
    </row>
    <row r="727">
      <c r="K727" s="18"/>
    </row>
    <row r="728">
      <c r="K728" s="18"/>
    </row>
    <row r="729">
      <c r="K729" s="18"/>
    </row>
    <row r="730">
      <c r="K730" s="18"/>
    </row>
    <row r="731">
      <c r="K731" s="18"/>
    </row>
    <row r="732">
      <c r="K732" s="18"/>
    </row>
    <row r="733">
      <c r="K733" s="18"/>
    </row>
    <row r="734">
      <c r="K734" s="18"/>
    </row>
    <row r="735">
      <c r="K735" s="18"/>
    </row>
    <row r="736">
      <c r="K736" s="18"/>
    </row>
    <row r="737">
      <c r="K737" s="18"/>
    </row>
    <row r="738">
      <c r="K738" s="18"/>
    </row>
    <row r="739">
      <c r="K739" s="18"/>
    </row>
    <row r="740">
      <c r="K740" s="18"/>
    </row>
    <row r="741">
      <c r="K741" s="18"/>
    </row>
    <row r="742">
      <c r="K742" s="18"/>
    </row>
    <row r="743">
      <c r="K743" s="18"/>
    </row>
    <row r="744">
      <c r="K744" s="18"/>
    </row>
    <row r="745">
      <c r="K745" s="18"/>
    </row>
    <row r="746">
      <c r="K746" s="18"/>
    </row>
    <row r="747">
      <c r="K747" s="18"/>
    </row>
    <row r="748">
      <c r="K748" s="18"/>
    </row>
    <row r="749">
      <c r="K749" s="18"/>
    </row>
    <row r="750">
      <c r="K750" s="18"/>
    </row>
    <row r="751">
      <c r="K751" s="18"/>
    </row>
    <row r="752">
      <c r="K752" s="18"/>
    </row>
    <row r="753">
      <c r="K753" s="18"/>
    </row>
    <row r="754">
      <c r="K754" s="18"/>
    </row>
    <row r="755">
      <c r="K755" s="18"/>
    </row>
    <row r="756">
      <c r="K756" s="18"/>
    </row>
    <row r="757">
      <c r="K757" s="18"/>
    </row>
    <row r="758">
      <c r="K758" s="18"/>
    </row>
    <row r="759">
      <c r="K759" s="18"/>
    </row>
    <row r="760">
      <c r="K760" s="18"/>
    </row>
    <row r="761">
      <c r="K761" s="18"/>
    </row>
    <row r="762">
      <c r="K762" s="18"/>
    </row>
    <row r="763">
      <c r="K763" s="18"/>
    </row>
    <row r="764">
      <c r="K764" s="18"/>
    </row>
    <row r="765">
      <c r="K765" s="18"/>
    </row>
    <row r="766">
      <c r="K766" s="18"/>
    </row>
    <row r="767">
      <c r="K767" s="18"/>
    </row>
    <row r="768">
      <c r="K768" s="18"/>
    </row>
    <row r="769">
      <c r="K769" s="18"/>
    </row>
    <row r="770">
      <c r="K770" s="18"/>
    </row>
    <row r="771">
      <c r="K771" s="18"/>
    </row>
    <row r="772">
      <c r="K772" s="18"/>
    </row>
    <row r="773">
      <c r="K773" s="18"/>
    </row>
    <row r="774">
      <c r="K774" s="18"/>
    </row>
    <row r="775">
      <c r="K775" s="18"/>
    </row>
    <row r="776">
      <c r="K776" s="18"/>
    </row>
    <row r="777">
      <c r="K777" s="18"/>
    </row>
    <row r="778">
      <c r="K778" s="18"/>
    </row>
    <row r="779">
      <c r="K779" s="18"/>
    </row>
    <row r="780">
      <c r="K780" s="18"/>
    </row>
    <row r="781">
      <c r="K781" s="18"/>
    </row>
    <row r="782">
      <c r="K782" s="18"/>
    </row>
    <row r="783">
      <c r="K783" s="18"/>
    </row>
    <row r="784">
      <c r="K784" s="18"/>
    </row>
    <row r="785">
      <c r="K785" s="18"/>
    </row>
    <row r="786">
      <c r="K786" s="18"/>
    </row>
    <row r="787">
      <c r="K787" s="18"/>
    </row>
    <row r="788">
      <c r="K788" s="18"/>
    </row>
    <row r="789">
      <c r="K789" s="18"/>
    </row>
    <row r="790">
      <c r="K790" s="18"/>
    </row>
    <row r="791">
      <c r="K791" s="18"/>
    </row>
    <row r="792">
      <c r="K792" s="18"/>
    </row>
    <row r="793">
      <c r="K793" s="18"/>
    </row>
    <row r="794">
      <c r="K794" s="18"/>
    </row>
    <row r="795">
      <c r="K795" s="18"/>
    </row>
    <row r="796">
      <c r="K796" s="18"/>
    </row>
    <row r="797">
      <c r="K797" s="18"/>
    </row>
    <row r="798">
      <c r="K798" s="18"/>
    </row>
    <row r="799">
      <c r="K799" s="18"/>
    </row>
    <row r="800">
      <c r="K800" s="18"/>
    </row>
    <row r="801">
      <c r="K801" s="18"/>
    </row>
    <row r="802">
      <c r="K802" s="18"/>
    </row>
    <row r="803">
      <c r="K803" s="18"/>
    </row>
    <row r="804">
      <c r="K804" s="18"/>
    </row>
    <row r="805">
      <c r="K805" s="18"/>
    </row>
    <row r="806">
      <c r="K806" s="18"/>
    </row>
    <row r="807">
      <c r="K807" s="18"/>
    </row>
    <row r="808">
      <c r="K808" s="18"/>
    </row>
    <row r="809">
      <c r="K809" s="18"/>
    </row>
    <row r="810">
      <c r="K810" s="18"/>
    </row>
    <row r="811">
      <c r="K811" s="18"/>
    </row>
    <row r="812">
      <c r="K812" s="18"/>
    </row>
    <row r="813">
      <c r="K813" s="18"/>
    </row>
    <row r="814">
      <c r="K814" s="18"/>
    </row>
    <row r="815">
      <c r="K815" s="18"/>
    </row>
    <row r="816">
      <c r="K816" s="18"/>
    </row>
    <row r="817">
      <c r="K817" s="18"/>
    </row>
    <row r="818">
      <c r="K818" s="18"/>
    </row>
    <row r="819">
      <c r="K819" s="18"/>
    </row>
    <row r="820">
      <c r="K820" s="18"/>
    </row>
    <row r="821">
      <c r="K821" s="18"/>
    </row>
    <row r="822">
      <c r="K822" s="18"/>
    </row>
    <row r="823">
      <c r="K823" s="18"/>
    </row>
    <row r="824">
      <c r="K824" s="18"/>
    </row>
    <row r="825">
      <c r="K825" s="18"/>
    </row>
    <row r="826">
      <c r="K826" s="18"/>
    </row>
    <row r="827">
      <c r="K827" s="18"/>
    </row>
    <row r="828">
      <c r="K828" s="18"/>
    </row>
    <row r="829">
      <c r="K829" s="18"/>
    </row>
    <row r="830">
      <c r="K830" s="18"/>
    </row>
    <row r="831">
      <c r="K831" s="18"/>
    </row>
    <row r="832">
      <c r="K832" s="18"/>
    </row>
    <row r="833">
      <c r="K833" s="18"/>
    </row>
    <row r="834">
      <c r="K834" s="18"/>
    </row>
    <row r="835">
      <c r="K835" s="18"/>
    </row>
    <row r="836">
      <c r="K836" s="18"/>
    </row>
    <row r="837">
      <c r="K837" s="18"/>
    </row>
    <row r="838">
      <c r="K838" s="18"/>
    </row>
    <row r="839">
      <c r="K839" s="18"/>
    </row>
    <row r="840">
      <c r="K840" s="18"/>
    </row>
    <row r="841">
      <c r="K841" s="18"/>
    </row>
    <row r="842">
      <c r="K842" s="18"/>
    </row>
    <row r="843">
      <c r="K843" s="18"/>
    </row>
    <row r="844">
      <c r="K844" s="18"/>
    </row>
    <row r="845">
      <c r="K845" s="18"/>
    </row>
    <row r="846">
      <c r="K846" s="18"/>
    </row>
    <row r="847">
      <c r="K847" s="18"/>
    </row>
    <row r="848">
      <c r="K848" s="18"/>
    </row>
    <row r="849">
      <c r="K849" s="18"/>
    </row>
    <row r="850">
      <c r="K850" s="18"/>
    </row>
    <row r="851">
      <c r="K851" s="18"/>
    </row>
    <row r="852">
      <c r="K852" s="18"/>
    </row>
    <row r="853">
      <c r="K853" s="18"/>
    </row>
    <row r="854">
      <c r="K854" s="18"/>
    </row>
    <row r="855">
      <c r="K855" s="18"/>
    </row>
    <row r="856">
      <c r="K856" s="18"/>
    </row>
    <row r="857">
      <c r="K857" s="18"/>
    </row>
    <row r="858">
      <c r="K858" s="18"/>
    </row>
    <row r="859">
      <c r="K859" s="18"/>
    </row>
    <row r="860">
      <c r="K860" s="18"/>
    </row>
    <row r="861">
      <c r="K861" s="18"/>
    </row>
    <row r="862">
      <c r="K862" s="18"/>
    </row>
    <row r="863">
      <c r="K863" s="18"/>
    </row>
    <row r="864">
      <c r="K864" s="18"/>
    </row>
    <row r="865">
      <c r="K865" s="18"/>
    </row>
    <row r="866">
      <c r="K866" s="18"/>
    </row>
    <row r="867">
      <c r="K867" s="18"/>
    </row>
    <row r="868">
      <c r="K868" s="18"/>
    </row>
    <row r="869">
      <c r="K869" s="18"/>
    </row>
    <row r="870">
      <c r="K870" s="18"/>
    </row>
    <row r="871">
      <c r="K871" s="18"/>
    </row>
    <row r="872">
      <c r="K872" s="18"/>
    </row>
    <row r="873">
      <c r="K873" s="18"/>
    </row>
    <row r="874">
      <c r="K874" s="18"/>
    </row>
    <row r="875">
      <c r="K875" s="18"/>
    </row>
    <row r="876">
      <c r="K876" s="18"/>
    </row>
    <row r="877">
      <c r="K877" s="18"/>
    </row>
    <row r="878">
      <c r="K878" s="18"/>
    </row>
    <row r="879">
      <c r="K879" s="18"/>
    </row>
    <row r="880">
      <c r="K880" s="18"/>
    </row>
    <row r="881">
      <c r="K881" s="18"/>
    </row>
    <row r="882">
      <c r="K882" s="18"/>
    </row>
    <row r="883">
      <c r="K883" s="18"/>
    </row>
    <row r="884">
      <c r="K884" s="18"/>
    </row>
    <row r="885">
      <c r="K885" s="18"/>
    </row>
    <row r="886">
      <c r="K886" s="18"/>
    </row>
    <row r="887">
      <c r="K887" s="18"/>
    </row>
    <row r="888">
      <c r="K888" s="18"/>
    </row>
    <row r="889">
      <c r="K889" s="18"/>
    </row>
    <row r="890">
      <c r="K890" s="18"/>
    </row>
    <row r="891">
      <c r="K891" s="18"/>
    </row>
    <row r="892">
      <c r="K892" s="18"/>
    </row>
    <row r="893">
      <c r="K893" s="18"/>
    </row>
    <row r="894">
      <c r="K894" s="18"/>
    </row>
    <row r="895">
      <c r="K895" s="18"/>
    </row>
    <row r="896">
      <c r="K896" s="18"/>
    </row>
    <row r="897">
      <c r="K897" s="18"/>
    </row>
    <row r="898">
      <c r="K898" s="18"/>
    </row>
    <row r="899">
      <c r="K899" s="18"/>
    </row>
    <row r="900">
      <c r="K900" s="18"/>
    </row>
    <row r="901">
      <c r="K901" s="18"/>
    </row>
    <row r="902">
      <c r="K902" s="18"/>
    </row>
    <row r="903">
      <c r="K903" s="18"/>
    </row>
    <row r="904">
      <c r="K904" s="18"/>
    </row>
    <row r="905">
      <c r="K905" s="18"/>
    </row>
    <row r="906">
      <c r="K906" s="18"/>
    </row>
    <row r="907">
      <c r="K907" s="18"/>
    </row>
    <row r="908">
      <c r="K908" s="18"/>
    </row>
    <row r="909">
      <c r="K909" s="18"/>
    </row>
    <row r="910">
      <c r="K910" s="18"/>
    </row>
    <row r="911">
      <c r="K911" s="18"/>
    </row>
    <row r="912">
      <c r="K912" s="18"/>
    </row>
    <row r="913">
      <c r="K913" s="18"/>
    </row>
    <row r="914">
      <c r="K914" s="18"/>
    </row>
    <row r="915">
      <c r="K915" s="18"/>
    </row>
    <row r="916">
      <c r="K916" s="18"/>
    </row>
    <row r="917">
      <c r="K917" s="18"/>
    </row>
    <row r="918">
      <c r="K918" s="18"/>
    </row>
    <row r="919">
      <c r="K919" s="18"/>
    </row>
    <row r="920">
      <c r="K920" s="18"/>
    </row>
    <row r="921">
      <c r="K921" s="18"/>
    </row>
    <row r="922">
      <c r="K922" s="18"/>
    </row>
    <row r="923">
      <c r="K923" s="18"/>
    </row>
    <row r="924">
      <c r="K924" s="18"/>
    </row>
    <row r="925">
      <c r="K925" s="18"/>
    </row>
    <row r="926">
      <c r="K926" s="18"/>
    </row>
    <row r="927">
      <c r="K927" s="18"/>
    </row>
    <row r="928">
      <c r="K928" s="18"/>
    </row>
    <row r="929">
      <c r="K929" s="18"/>
    </row>
    <row r="930">
      <c r="K930" s="18"/>
    </row>
    <row r="931">
      <c r="K931" s="18"/>
    </row>
    <row r="932">
      <c r="K932" s="18"/>
    </row>
    <row r="933">
      <c r="K933" s="18"/>
    </row>
    <row r="934">
      <c r="K934" s="18"/>
    </row>
    <row r="935">
      <c r="K935" s="18"/>
    </row>
    <row r="936">
      <c r="K936" s="18"/>
    </row>
    <row r="937">
      <c r="K937" s="18"/>
    </row>
    <row r="938">
      <c r="K938" s="18"/>
    </row>
    <row r="939">
      <c r="K939" s="18"/>
    </row>
    <row r="940">
      <c r="K940" s="18"/>
    </row>
    <row r="941">
      <c r="K941" s="18"/>
    </row>
    <row r="942">
      <c r="K942" s="18"/>
    </row>
    <row r="943">
      <c r="K943" s="18"/>
    </row>
    <row r="944">
      <c r="K944" s="18"/>
    </row>
    <row r="945">
      <c r="K945" s="18"/>
    </row>
    <row r="946">
      <c r="K946" s="18"/>
    </row>
    <row r="947">
      <c r="K947" s="18"/>
    </row>
    <row r="948">
      <c r="K948" s="18"/>
    </row>
    <row r="949">
      <c r="K949" s="18"/>
    </row>
    <row r="950">
      <c r="K950" s="18"/>
    </row>
    <row r="951">
      <c r="K951" s="18"/>
    </row>
    <row r="952">
      <c r="K952" s="18"/>
    </row>
    <row r="953">
      <c r="K953" s="18"/>
    </row>
    <row r="954">
      <c r="K954" s="18"/>
    </row>
    <row r="955">
      <c r="K955" s="18"/>
    </row>
    <row r="956">
      <c r="K956" s="18"/>
    </row>
    <row r="957">
      <c r="K957" s="18"/>
    </row>
    <row r="958">
      <c r="K958" s="18"/>
    </row>
    <row r="959">
      <c r="K959" s="18"/>
    </row>
    <row r="960">
      <c r="K960" s="18"/>
    </row>
    <row r="961">
      <c r="K961" s="18"/>
    </row>
    <row r="962">
      <c r="K962" s="18"/>
    </row>
    <row r="963">
      <c r="K963" s="18"/>
    </row>
    <row r="964">
      <c r="K964" s="18"/>
    </row>
    <row r="965">
      <c r="K965" s="18"/>
    </row>
    <row r="966">
      <c r="K966" s="18"/>
    </row>
    <row r="967">
      <c r="K967" s="18"/>
    </row>
    <row r="968">
      <c r="K968" s="18"/>
    </row>
    <row r="969">
      <c r="K969" s="18"/>
    </row>
    <row r="970">
      <c r="K970" s="18"/>
    </row>
    <row r="971">
      <c r="K971" s="18"/>
    </row>
    <row r="972">
      <c r="K972" s="18"/>
    </row>
    <row r="973">
      <c r="K973" s="18"/>
    </row>
    <row r="974">
      <c r="K974" s="18"/>
    </row>
    <row r="975">
      <c r="K975" s="18"/>
    </row>
    <row r="976">
      <c r="K976" s="18"/>
    </row>
    <row r="977">
      <c r="K977" s="18"/>
    </row>
    <row r="978">
      <c r="K978" s="18"/>
    </row>
    <row r="979">
      <c r="K979" s="18"/>
    </row>
    <row r="980">
      <c r="K980" s="18"/>
    </row>
    <row r="981">
      <c r="K981" s="18"/>
    </row>
    <row r="982">
      <c r="K982" s="18"/>
    </row>
    <row r="983">
      <c r="K983" s="18"/>
    </row>
    <row r="984">
      <c r="K984" s="18"/>
    </row>
    <row r="985">
      <c r="K985" s="18"/>
    </row>
    <row r="986">
      <c r="K986" s="18"/>
    </row>
    <row r="987">
      <c r="K987" s="18"/>
    </row>
    <row r="988">
      <c r="K988" s="18"/>
    </row>
    <row r="989">
      <c r="K989" s="18"/>
    </row>
    <row r="990">
      <c r="K990" s="18"/>
    </row>
    <row r="991">
      <c r="K991" s="18"/>
    </row>
    <row r="992">
      <c r="K992" s="18"/>
    </row>
    <row r="993">
      <c r="K993" s="18"/>
    </row>
    <row r="994">
      <c r="K994" s="18"/>
    </row>
    <row r="995">
      <c r="K995" s="18"/>
    </row>
    <row r="996">
      <c r="K996" s="18"/>
    </row>
    <row r="997">
      <c r="K997" s="18"/>
    </row>
    <row r="998">
      <c r="K998" s="18"/>
    </row>
    <row r="999">
      <c r="K999" s="18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13</v>
      </c>
      <c r="C1" s="2" t="s">
        <v>14</v>
      </c>
      <c r="D1" s="2" t="s">
        <v>40</v>
      </c>
      <c r="E1" s="8" t="s">
        <v>19</v>
      </c>
      <c r="F1" s="2" t="s">
        <v>9</v>
      </c>
      <c r="G1" s="2" t="s">
        <v>41</v>
      </c>
      <c r="H1" s="2" t="s">
        <v>42</v>
      </c>
      <c r="I1" s="2" t="s">
        <v>43</v>
      </c>
      <c r="J1" s="2" t="s">
        <v>32</v>
      </c>
      <c r="K1" s="2" t="s">
        <v>44</v>
      </c>
      <c r="L1" s="2" t="s">
        <v>25</v>
      </c>
      <c r="M1" s="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>
      <c r="A2" s="17">
        <v>45829.0</v>
      </c>
      <c r="B2" s="20">
        <v>17.03526</v>
      </c>
      <c r="C2" s="20">
        <v>-61.91842</v>
      </c>
      <c r="D2" s="23" t="s">
        <v>50</v>
      </c>
      <c r="E2" s="20" t="s">
        <v>33</v>
      </c>
      <c r="F2" s="20" t="s">
        <v>35</v>
      </c>
      <c r="G2" s="20">
        <v>262.0</v>
      </c>
      <c r="H2" s="20">
        <v>215.0</v>
      </c>
      <c r="I2" s="20">
        <v>196.0</v>
      </c>
      <c r="J2" s="23" t="s">
        <v>54</v>
      </c>
      <c r="K2" s="23" t="s">
        <v>55</v>
      </c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>
      <c r="A3" s="17">
        <v>45830.0</v>
      </c>
      <c r="B3" s="20">
        <v>17.03296</v>
      </c>
      <c r="C3" s="20">
        <v>-61.91388</v>
      </c>
      <c r="D3" s="23" t="s">
        <v>58</v>
      </c>
      <c r="E3" s="20" t="s">
        <v>59</v>
      </c>
      <c r="F3" s="20" t="s">
        <v>35</v>
      </c>
      <c r="G3" s="20">
        <v>118.0</v>
      </c>
      <c r="H3" s="20">
        <v>102.0</v>
      </c>
      <c r="I3" s="20">
        <v>87.0</v>
      </c>
      <c r="J3" s="23" t="s">
        <v>60</v>
      </c>
      <c r="K3" s="23" t="s">
        <v>53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>
      <c r="A4" s="17">
        <v>45830.0</v>
      </c>
      <c r="B4" s="20">
        <v>17.03535</v>
      </c>
      <c r="C4" s="20">
        <v>-61.91845</v>
      </c>
      <c r="D4" s="23" t="s">
        <v>63</v>
      </c>
      <c r="E4" s="20" t="s">
        <v>33</v>
      </c>
      <c r="F4" s="20" t="s">
        <v>35</v>
      </c>
      <c r="G4" s="20">
        <v>292.0</v>
      </c>
      <c r="H4" s="20">
        <v>258.0</v>
      </c>
      <c r="I4" s="20">
        <v>245.0</v>
      </c>
      <c r="J4" s="23" t="s">
        <v>65</v>
      </c>
      <c r="K4" s="23" t="s">
        <v>66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>
      <c r="A5" s="17">
        <v>45833.0</v>
      </c>
      <c r="B5" s="20">
        <v>17.03425</v>
      </c>
      <c r="C5" s="20">
        <v>-61.91316</v>
      </c>
      <c r="D5" s="23" t="s">
        <v>67</v>
      </c>
      <c r="E5" s="20" t="s">
        <v>33</v>
      </c>
      <c r="F5" s="20" t="s">
        <v>35</v>
      </c>
      <c r="G5" s="20">
        <v>249.0</v>
      </c>
      <c r="H5" s="20">
        <v>236.0</v>
      </c>
      <c r="I5" s="20">
        <v>183.0</v>
      </c>
      <c r="J5" s="23" t="s">
        <v>68</v>
      </c>
      <c r="K5" s="23" t="s">
        <v>69</v>
      </c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>
      <c r="A6" s="17">
        <v>45833.0</v>
      </c>
      <c r="B6" s="20">
        <v>17.03425</v>
      </c>
      <c r="C6" s="20">
        <v>-61.91316</v>
      </c>
      <c r="D6" s="23" t="s">
        <v>70</v>
      </c>
      <c r="E6" s="20" t="s">
        <v>59</v>
      </c>
      <c r="F6" s="20" t="s">
        <v>35</v>
      </c>
      <c r="G6" s="20">
        <v>85.0</v>
      </c>
      <c r="H6" s="20">
        <v>70.0</v>
      </c>
      <c r="I6" s="20">
        <v>62.0</v>
      </c>
      <c r="J6" s="23" t="s">
        <v>71</v>
      </c>
      <c r="K6" s="23" t="s">
        <v>53</v>
      </c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>
      <c r="A7" s="17">
        <v>45833.0</v>
      </c>
      <c r="B7" s="20">
        <v>17.03425</v>
      </c>
      <c r="C7" s="20">
        <v>-61.91316</v>
      </c>
      <c r="D7" s="23" t="s">
        <v>74</v>
      </c>
      <c r="E7" s="20" t="s">
        <v>59</v>
      </c>
      <c r="F7" s="20" t="s">
        <v>76</v>
      </c>
      <c r="G7" s="20">
        <v>155.0</v>
      </c>
      <c r="H7" s="20">
        <v>123.0</v>
      </c>
      <c r="I7" s="20">
        <v>110.0</v>
      </c>
      <c r="J7" s="23" t="s">
        <v>77</v>
      </c>
      <c r="K7" s="23" t="s">
        <v>53</v>
      </c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</row>
    <row r="8">
      <c r="A8" s="17">
        <v>45834.0</v>
      </c>
      <c r="B8" s="20">
        <v>17.03326</v>
      </c>
      <c r="C8" s="20">
        <v>-61.91339</v>
      </c>
      <c r="D8" s="23" t="s">
        <v>79</v>
      </c>
      <c r="E8" s="20" t="s">
        <v>33</v>
      </c>
      <c r="F8" s="20" t="s">
        <v>35</v>
      </c>
      <c r="G8" s="20">
        <v>337.0</v>
      </c>
      <c r="H8" s="20">
        <v>263.0</v>
      </c>
      <c r="I8" s="20">
        <v>252.0</v>
      </c>
      <c r="J8" s="23" t="s">
        <v>80</v>
      </c>
      <c r="K8" s="23" t="s">
        <v>81</v>
      </c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</row>
    <row r="9">
      <c r="A9" s="17">
        <v>45835.0</v>
      </c>
      <c r="B9" s="20">
        <v>17.03358</v>
      </c>
      <c r="C9" s="20">
        <v>-61.9159</v>
      </c>
      <c r="D9" s="23" t="s">
        <v>84</v>
      </c>
      <c r="E9" s="20" t="s">
        <v>59</v>
      </c>
      <c r="F9" s="20" t="s">
        <v>35</v>
      </c>
      <c r="G9" s="20">
        <v>205.0</v>
      </c>
      <c r="H9" s="20">
        <v>164.0</v>
      </c>
      <c r="I9" s="20">
        <v>155.0</v>
      </c>
      <c r="J9" s="23" t="s">
        <v>85</v>
      </c>
      <c r="K9" s="23" t="s">
        <v>53</v>
      </c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>
      <c r="A10" s="17">
        <v>45835.0</v>
      </c>
      <c r="B10" s="20">
        <v>17.05387</v>
      </c>
      <c r="C10" s="20">
        <v>-61.91577</v>
      </c>
      <c r="D10" s="23" t="s">
        <v>53</v>
      </c>
      <c r="E10" s="20" t="s">
        <v>33</v>
      </c>
      <c r="F10" s="20" t="s">
        <v>35</v>
      </c>
      <c r="G10" s="18">
        <f>75*2</f>
        <v>150</v>
      </c>
      <c r="H10" s="28" t="s">
        <v>53</v>
      </c>
      <c r="I10" s="28" t="s">
        <v>53</v>
      </c>
      <c r="J10" s="23" t="s">
        <v>53</v>
      </c>
      <c r="K10" s="23" t="s">
        <v>53</v>
      </c>
      <c r="L10" s="20" t="s">
        <v>88</v>
      </c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11</v>
      </c>
      <c r="C1" s="5" t="s">
        <v>5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>
      <c r="A2" s="13">
        <v>45247.0</v>
      </c>
      <c r="B2" s="15" t="s">
        <v>28</v>
      </c>
      <c r="C2" s="15" t="s">
        <v>46</v>
      </c>
      <c r="D2" s="21">
        <v>0.3541666666666667</v>
      </c>
      <c r="E2" s="21">
        <v>0.4791666666666667</v>
      </c>
      <c r="F2" s="24">
        <f t="shared" ref="F2:F31" si="1">E2-D2</f>
        <v>0.125</v>
      </c>
      <c r="G2" s="15" t="s">
        <v>56</v>
      </c>
      <c r="H2" s="15">
        <v>1.0</v>
      </c>
      <c r="I2" s="15" t="s">
        <v>57</v>
      </c>
    </row>
    <row r="3">
      <c r="A3" s="13">
        <v>45247.0</v>
      </c>
      <c r="B3" s="15" t="s">
        <v>28</v>
      </c>
      <c r="C3" s="15" t="s">
        <v>30</v>
      </c>
      <c r="D3" s="21">
        <v>0.5416666666666666</v>
      </c>
      <c r="E3" s="21">
        <v>0.625</v>
      </c>
      <c r="F3" s="24">
        <f t="shared" si="1"/>
        <v>0.08333333333</v>
      </c>
      <c r="G3" s="15" t="s">
        <v>56</v>
      </c>
      <c r="H3" s="15">
        <v>5.0</v>
      </c>
      <c r="I3" s="15" t="s">
        <v>57</v>
      </c>
    </row>
    <row r="4">
      <c r="A4" s="13">
        <v>45248.0</v>
      </c>
      <c r="B4" s="15" t="s">
        <v>28</v>
      </c>
      <c r="C4" s="15" t="s">
        <v>30</v>
      </c>
      <c r="D4" s="21">
        <v>0.3541666666666667</v>
      </c>
      <c r="E4" s="21">
        <v>0.4583333333333333</v>
      </c>
      <c r="F4" s="24">
        <f t="shared" si="1"/>
        <v>0.1041666667</v>
      </c>
      <c r="G4" s="15" t="s">
        <v>56</v>
      </c>
      <c r="H4" s="15">
        <v>5.0</v>
      </c>
      <c r="I4" s="15" t="s">
        <v>57</v>
      </c>
    </row>
    <row r="5">
      <c r="A5" s="13">
        <v>45248.0</v>
      </c>
      <c r="B5" s="15" t="s">
        <v>28</v>
      </c>
      <c r="C5" s="15" t="s">
        <v>46</v>
      </c>
      <c r="D5" s="21">
        <v>0.5138888888888888</v>
      </c>
      <c r="E5" s="21">
        <v>0.5833333333333334</v>
      </c>
      <c r="F5" s="24">
        <f t="shared" si="1"/>
        <v>0.06944444444</v>
      </c>
      <c r="G5" s="15" t="s">
        <v>75</v>
      </c>
      <c r="H5" s="15">
        <v>5.0</v>
      </c>
      <c r="I5" s="15" t="s">
        <v>57</v>
      </c>
    </row>
    <row r="6">
      <c r="A6" s="13">
        <v>45249.0</v>
      </c>
      <c r="B6" s="15" t="s">
        <v>28</v>
      </c>
      <c r="C6" s="15" t="s">
        <v>78</v>
      </c>
      <c r="D6" s="21">
        <v>0.3333333333333333</v>
      </c>
      <c r="E6" s="21">
        <v>0.4583333333333333</v>
      </c>
      <c r="F6" s="24">
        <f t="shared" si="1"/>
        <v>0.125</v>
      </c>
      <c r="G6" s="15" t="s">
        <v>56</v>
      </c>
      <c r="H6" s="15">
        <v>5.0</v>
      </c>
      <c r="I6" s="15" t="s">
        <v>57</v>
      </c>
    </row>
    <row r="7">
      <c r="A7" s="13">
        <v>45276.0</v>
      </c>
      <c r="B7" s="15" t="s">
        <v>82</v>
      </c>
      <c r="C7" s="15" t="s">
        <v>83</v>
      </c>
      <c r="D7" s="21">
        <v>0.28888888888888886</v>
      </c>
      <c r="E7" s="21">
        <v>0.4111111111111111</v>
      </c>
      <c r="F7" s="24">
        <f t="shared" si="1"/>
        <v>0.1222222222</v>
      </c>
      <c r="G7" s="15" t="s">
        <v>56</v>
      </c>
      <c r="H7" s="15">
        <v>4.0</v>
      </c>
    </row>
    <row r="8">
      <c r="A8" s="13">
        <v>45276.0</v>
      </c>
      <c r="B8" s="15" t="s">
        <v>82</v>
      </c>
      <c r="C8" s="15" t="s">
        <v>83</v>
      </c>
      <c r="D8" s="21">
        <v>0.4201388888888889</v>
      </c>
      <c r="E8" s="21">
        <v>0.5083333333333333</v>
      </c>
      <c r="F8" s="24">
        <f t="shared" si="1"/>
        <v>0.08819444444</v>
      </c>
      <c r="G8" s="15" t="s">
        <v>56</v>
      </c>
      <c r="H8" s="15">
        <v>5.0</v>
      </c>
    </row>
    <row r="9">
      <c r="A9" s="13">
        <v>45276.0</v>
      </c>
      <c r="B9" s="15" t="s">
        <v>82</v>
      </c>
      <c r="C9" s="15" t="s">
        <v>83</v>
      </c>
      <c r="D9" s="21">
        <v>0.5069444444444444</v>
      </c>
      <c r="E9" s="21">
        <v>0.6076388888888888</v>
      </c>
      <c r="F9" s="24">
        <f t="shared" si="1"/>
        <v>0.1006944444</v>
      </c>
      <c r="G9" s="15" t="s">
        <v>56</v>
      </c>
      <c r="H9" s="15">
        <v>2.0</v>
      </c>
    </row>
    <row r="10">
      <c r="A10" s="13">
        <v>45276.0</v>
      </c>
      <c r="B10" s="15" t="s">
        <v>82</v>
      </c>
      <c r="C10" s="15" t="s">
        <v>83</v>
      </c>
      <c r="D10" s="21">
        <v>0.5090277777777777</v>
      </c>
      <c r="E10" s="21">
        <v>0.6527777777777778</v>
      </c>
      <c r="F10" s="24">
        <f t="shared" si="1"/>
        <v>0.14375</v>
      </c>
      <c r="G10" s="15" t="s">
        <v>56</v>
      </c>
      <c r="H10" s="15">
        <v>1.0</v>
      </c>
    </row>
    <row r="11">
      <c r="A11" s="13">
        <v>45276.0</v>
      </c>
      <c r="B11" s="15" t="s">
        <v>82</v>
      </c>
      <c r="C11" s="15" t="s">
        <v>83</v>
      </c>
      <c r="D11" s="21">
        <v>0.53125</v>
      </c>
      <c r="E11" s="21">
        <v>0.7444444444444445</v>
      </c>
      <c r="F11" s="24">
        <f t="shared" si="1"/>
        <v>0.2131944444</v>
      </c>
      <c r="G11" s="15" t="s">
        <v>56</v>
      </c>
      <c r="H11" s="15">
        <v>2.0</v>
      </c>
    </row>
    <row r="12">
      <c r="A12" s="13">
        <v>45276.0</v>
      </c>
      <c r="B12" s="15" t="s">
        <v>82</v>
      </c>
      <c r="C12" s="15" t="s">
        <v>83</v>
      </c>
      <c r="D12" s="21">
        <v>0.6097222222222223</v>
      </c>
      <c r="E12" s="21">
        <v>0.7409722222222223</v>
      </c>
      <c r="F12" s="24">
        <f t="shared" si="1"/>
        <v>0.13125</v>
      </c>
      <c r="G12" s="15" t="s">
        <v>56</v>
      </c>
      <c r="H12" s="15">
        <v>2.0</v>
      </c>
    </row>
    <row r="13">
      <c r="A13" s="13">
        <v>45277.0</v>
      </c>
      <c r="B13" s="15" t="s">
        <v>82</v>
      </c>
      <c r="C13" s="15" t="s">
        <v>83</v>
      </c>
      <c r="D13" s="21">
        <v>0.2777777777777778</v>
      </c>
      <c r="E13" s="21">
        <v>0.4895833333333333</v>
      </c>
      <c r="F13" s="24">
        <f t="shared" si="1"/>
        <v>0.2118055556</v>
      </c>
      <c r="G13" s="15" t="s">
        <v>56</v>
      </c>
      <c r="H13" s="15">
        <v>5.0</v>
      </c>
    </row>
    <row r="14">
      <c r="A14" s="13">
        <v>45277.0</v>
      </c>
      <c r="B14" s="15" t="s">
        <v>82</v>
      </c>
      <c r="C14" s="15" t="s">
        <v>83</v>
      </c>
      <c r="D14" s="21">
        <v>0.5208333333333334</v>
      </c>
      <c r="E14" s="21">
        <v>0.5833333333333334</v>
      </c>
      <c r="F14" s="24">
        <f t="shared" si="1"/>
        <v>0.0625</v>
      </c>
      <c r="G14" s="15" t="s">
        <v>56</v>
      </c>
      <c r="H14" s="15">
        <v>5.0</v>
      </c>
    </row>
    <row r="15">
      <c r="A15" s="13">
        <v>45278.0</v>
      </c>
      <c r="B15" s="15" t="s">
        <v>28</v>
      </c>
      <c r="C15" s="15" t="s">
        <v>46</v>
      </c>
      <c r="D15" s="21">
        <v>0.375</v>
      </c>
      <c r="E15" s="21">
        <v>0.44375</v>
      </c>
      <c r="F15" s="24">
        <f t="shared" si="1"/>
        <v>0.06875</v>
      </c>
      <c r="G15" s="15" t="s">
        <v>75</v>
      </c>
      <c r="H15" s="15">
        <v>1.0</v>
      </c>
      <c r="I15" s="15" t="s">
        <v>91</v>
      </c>
    </row>
    <row r="16">
      <c r="A16" s="13">
        <v>45278.0</v>
      </c>
      <c r="B16" s="15" t="s">
        <v>28</v>
      </c>
      <c r="C16" s="15" t="s">
        <v>46</v>
      </c>
      <c r="D16" s="21">
        <v>0.3770833333333333</v>
      </c>
      <c r="E16" s="21">
        <v>0.53125</v>
      </c>
      <c r="F16" s="24">
        <f t="shared" si="1"/>
        <v>0.1541666667</v>
      </c>
      <c r="G16" s="15" t="s">
        <v>75</v>
      </c>
      <c r="H16" s="15">
        <v>5.0</v>
      </c>
      <c r="I16" s="15" t="s">
        <v>91</v>
      </c>
    </row>
    <row r="17">
      <c r="A17" s="13">
        <v>45278.0</v>
      </c>
      <c r="B17" s="15" t="s">
        <v>28</v>
      </c>
      <c r="C17" s="15" t="s">
        <v>30</v>
      </c>
      <c r="D17" s="21">
        <v>0.5916666666666667</v>
      </c>
      <c r="E17" s="21">
        <v>0.6979166666666666</v>
      </c>
      <c r="F17" s="24">
        <f t="shared" si="1"/>
        <v>0.10625</v>
      </c>
      <c r="G17" s="15" t="s">
        <v>56</v>
      </c>
      <c r="H17" s="15">
        <v>4.0</v>
      </c>
    </row>
    <row r="18">
      <c r="A18" s="13">
        <v>45278.0</v>
      </c>
      <c r="B18" s="15" t="s">
        <v>28</v>
      </c>
      <c r="C18" s="15" t="s">
        <v>30</v>
      </c>
      <c r="D18" s="21">
        <v>0.6006944444444444</v>
      </c>
      <c r="E18" s="21">
        <v>0.6791666666666667</v>
      </c>
      <c r="F18" s="24">
        <f t="shared" si="1"/>
        <v>0.07847222222</v>
      </c>
      <c r="G18" s="15" t="s">
        <v>56</v>
      </c>
      <c r="H18" s="15">
        <v>1.0</v>
      </c>
    </row>
    <row r="19">
      <c r="A19" s="13">
        <v>45279.0</v>
      </c>
      <c r="B19" s="15" t="s">
        <v>28</v>
      </c>
      <c r="C19" s="15" t="s">
        <v>93</v>
      </c>
      <c r="D19" s="21">
        <v>0.34791666666666665</v>
      </c>
      <c r="E19" s="21">
        <v>0.44722222222222224</v>
      </c>
      <c r="F19" s="24">
        <f t="shared" si="1"/>
        <v>0.09930555556</v>
      </c>
      <c r="G19" s="15" t="s">
        <v>75</v>
      </c>
      <c r="H19" s="15">
        <v>2.0</v>
      </c>
      <c r="I19" s="15"/>
    </row>
    <row r="20">
      <c r="A20" s="13">
        <v>45279.0</v>
      </c>
      <c r="B20" s="15" t="s">
        <v>28</v>
      </c>
      <c r="C20" s="15" t="s">
        <v>93</v>
      </c>
      <c r="D20" s="21">
        <v>0.39791666666666664</v>
      </c>
      <c r="E20" s="21">
        <v>0.4486111111111111</v>
      </c>
      <c r="F20" s="24">
        <f t="shared" si="1"/>
        <v>0.05069444444</v>
      </c>
      <c r="G20" s="15" t="s">
        <v>75</v>
      </c>
      <c r="H20" s="15">
        <v>2.0</v>
      </c>
      <c r="I20" s="15"/>
    </row>
    <row r="21">
      <c r="A21" s="13">
        <v>45279.0</v>
      </c>
      <c r="B21" s="15" t="s">
        <v>28</v>
      </c>
      <c r="C21" s="15" t="s">
        <v>96</v>
      </c>
      <c r="D21" s="21">
        <v>0.4756944444444444</v>
      </c>
      <c r="E21" s="21">
        <v>0.625</v>
      </c>
      <c r="F21" s="24">
        <f t="shared" si="1"/>
        <v>0.1493055556</v>
      </c>
      <c r="G21" s="15" t="s">
        <v>56</v>
      </c>
      <c r="H21" s="15">
        <v>2.0</v>
      </c>
    </row>
    <row r="22">
      <c r="A22" s="13">
        <v>45279.0</v>
      </c>
      <c r="B22" s="15" t="s">
        <v>28</v>
      </c>
      <c r="C22" s="15" t="s">
        <v>96</v>
      </c>
      <c r="D22" s="21">
        <v>0.5458333333333333</v>
      </c>
      <c r="E22" s="21">
        <v>0.6486111111111111</v>
      </c>
      <c r="F22" s="24">
        <f t="shared" si="1"/>
        <v>0.1027777778</v>
      </c>
      <c r="G22" s="15" t="s">
        <v>56</v>
      </c>
      <c r="H22" s="15">
        <v>2.0</v>
      </c>
    </row>
    <row r="23">
      <c r="A23" s="29">
        <v>45829.0</v>
      </c>
      <c r="B23" s="15" t="s">
        <v>28</v>
      </c>
      <c r="C23" s="15" t="s">
        <v>30</v>
      </c>
      <c r="D23" s="21">
        <v>0.42777777777777776</v>
      </c>
      <c r="E23" s="21">
        <v>0.5625</v>
      </c>
      <c r="F23" s="24">
        <f t="shared" si="1"/>
        <v>0.1347222222</v>
      </c>
      <c r="G23" s="15" t="s">
        <v>56</v>
      </c>
      <c r="H23" s="15">
        <v>1.0</v>
      </c>
    </row>
    <row r="24">
      <c r="A24" s="29">
        <v>45829.0</v>
      </c>
      <c r="B24" s="15" t="s">
        <v>28</v>
      </c>
      <c r="C24" s="15" t="s">
        <v>30</v>
      </c>
      <c r="D24" s="21">
        <v>0.42777777777777776</v>
      </c>
      <c r="E24" s="21">
        <v>0.6694444444444444</v>
      </c>
      <c r="F24" s="24">
        <f t="shared" si="1"/>
        <v>0.2416666667</v>
      </c>
      <c r="G24" s="15" t="s">
        <v>56</v>
      </c>
      <c r="H24" s="15">
        <v>3.0</v>
      </c>
    </row>
    <row r="25">
      <c r="A25" s="29">
        <v>45830.0</v>
      </c>
      <c r="B25" s="15" t="s">
        <v>28</v>
      </c>
      <c r="C25" s="15" t="s">
        <v>30</v>
      </c>
      <c r="D25" s="21">
        <v>0.2847222222222222</v>
      </c>
      <c r="E25" s="21">
        <v>0.3541666666666667</v>
      </c>
      <c r="F25" s="24">
        <f t="shared" si="1"/>
        <v>0.06944444444</v>
      </c>
      <c r="G25" s="15" t="s">
        <v>56</v>
      </c>
      <c r="H25" s="15">
        <v>1.0</v>
      </c>
    </row>
    <row r="26">
      <c r="A26" s="29">
        <v>45830.0</v>
      </c>
      <c r="B26" s="15" t="s">
        <v>28</v>
      </c>
      <c r="C26" s="15" t="s">
        <v>30</v>
      </c>
      <c r="D26" s="21">
        <v>0.2847222222222222</v>
      </c>
      <c r="E26" s="21">
        <v>0.5430555555555555</v>
      </c>
      <c r="F26" s="24">
        <f t="shared" si="1"/>
        <v>0.2583333333</v>
      </c>
      <c r="G26" s="15" t="s">
        <v>56</v>
      </c>
      <c r="H26" s="15">
        <v>3.0</v>
      </c>
    </row>
    <row r="27">
      <c r="A27" s="29">
        <v>45831.0</v>
      </c>
      <c r="B27" s="15" t="s">
        <v>28</v>
      </c>
      <c r="C27" s="15" t="s">
        <v>30</v>
      </c>
      <c r="D27" s="21">
        <v>0.48541666666666666</v>
      </c>
      <c r="E27" s="21">
        <v>0.6625</v>
      </c>
      <c r="F27" s="24">
        <f t="shared" si="1"/>
        <v>0.1770833333</v>
      </c>
      <c r="G27" s="15" t="s">
        <v>56</v>
      </c>
      <c r="H27" s="15">
        <v>1.0</v>
      </c>
    </row>
    <row r="28">
      <c r="A28" s="29">
        <v>45831.0</v>
      </c>
      <c r="B28" s="15" t="s">
        <v>28</v>
      </c>
      <c r="C28" s="15" t="s">
        <v>30</v>
      </c>
      <c r="D28" s="21">
        <v>0.48541666666666666</v>
      </c>
      <c r="E28" s="21">
        <v>0.7513888888888889</v>
      </c>
      <c r="F28" s="24">
        <f t="shared" si="1"/>
        <v>0.2659722222</v>
      </c>
      <c r="G28" s="15" t="s">
        <v>56</v>
      </c>
      <c r="H28" s="15">
        <v>3.0</v>
      </c>
    </row>
    <row r="29">
      <c r="A29" s="29">
        <v>45833.0</v>
      </c>
      <c r="B29" s="15" t="s">
        <v>28</v>
      </c>
      <c r="C29" s="15" t="s">
        <v>30</v>
      </c>
      <c r="D29" s="21">
        <v>0.2965277777777778</v>
      </c>
      <c r="E29" s="21">
        <v>0.59375</v>
      </c>
      <c r="F29" s="24">
        <f t="shared" si="1"/>
        <v>0.2972222222</v>
      </c>
      <c r="G29" s="15" t="s">
        <v>56</v>
      </c>
      <c r="H29" s="15">
        <v>4.0</v>
      </c>
    </row>
    <row r="30">
      <c r="A30" s="29">
        <v>45834.0</v>
      </c>
      <c r="B30" s="15" t="s">
        <v>28</v>
      </c>
      <c r="C30" s="15" t="s">
        <v>30</v>
      </c>
      <c r="D30" s="21">
        <v>0.3263888888888889</v>
      </c>
      <c r="E30" s="21">
        <v>0.7173611111111111</v>
      </c>
      <c r="F30" s="24">
        <f t="shared" si="1"/>
        <v>0.3909722222</v>
      </c>
      <c r="G30" s="15" t="s">
        <v>56</v>
      </c>
      <c r="H30" s="15">
        <v>4.0</v>
      </c>
    </row>
    <row r="31">
      <c r="A31" s="29">
        <v>45835.0</v>
      </c>
      <c r="B31" s="15" t="s">
        <v>28</v>
      </c>
      <c r="C31" s="15" t="s">
        <v>30</v>
      </c>
      <c r="D31" s="21">
        <v>0.4270833333333333</v>
      </c>
      <c r="E31" s="21">
        <v>0.6458333333333334</v>
      </c>
      <c r="F31" s="24">
        <f t="shared" si="1"/>
        <v>0.21875</v>
      </c>
      <c r="G31" s="15" t="s">
        <v>56</v>
      </c>
      <c r="H31" s="15">
        <v>4.0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6" max="6" width="14.13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3" t="s">
        <v>10</v>
      </c>
      <c r="J1" s="1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6"/>
      <c r="V1" s="6"/>
      <c r="W1" s="6"/>
    </row>
    <row r="2">
      <c r="A2" s="7">
        <v>45829.0</v>
      </c>
      <c r="B2" s="9">
        <v>0.5625</v>
      </c>
      <c r="C2" s="1" t="s">
        <v>28</v>
      </c>
      <c r="D2" s="1" t="s">
        <v>30</v>
      </c>
      <c r="E2" s="1">
        <v>17.03526</v>
      </c>
      <c r="F2" s="1">
        <v>-61.91842</v>
      </c>
      <c r="G2" s="1" t="s">
        <v>33</v>
      </c>
      <c r="H2" s="1" t="s">
        <v>35</v>
      </c>
      <c r="I2" s="3" t="s">
        <v>36</v>
      </c>
      <c r="J2" s="11">
        <v>45950.0</v>
      </c>
      <c r="K2" s="4">
        <f t="shared" ref="K2:K5" si="1">J2-A2</f>
        <v>121</v>
      </c>
      <c r="L2" s="4"/>
      <c r="M2" s="4"/>
      <c r="N2" s="4"/>
      <c r="O2" s="4"/>
      <c r="P2" s="4"/>
      <c r="Q2" s="4"/>
      <c r="R2" s="4"/>
      <c r="S2" s="4"/>
      <c r="T2" s="4"/>
      <c r="U2" s="6"/>
      <c r="V2" s="6"/>
      <c r="W2" s="6"/>
    </row>
    <row r="3">
      <c r="A3" s="7">
        <v>45830.0</v>
      </c>
      <c r="B3" s="9">
        <v>0.6298611111111111</v>
      </c>
      <c r="C3" s="1" t="s">
        <v>28</v>
      </c>
      <c r="D3" s="1" t="s">
        <v>30</v>
      </c>
      <c r="E3" s="1">
        <v>17.03535</v>
      </c>
      <c r="F3" s="1">
        <v>-61.91845</v>
      </c>
      <c r="G3" s="1" t="s">
        <v>33</v>
      </c>
      <c r="H3" s="1" t="s">
        <v>35</v>
      </c>
      <c r="I3" s="3" t="s">
        <v>45</v>
      </c>
      <c r="J3" s="11">
        <v>45950.0</v>
      </c>
      <c r="K3" s="4">
        <f t="shared" si="1"/>
        <v>120</v>
      </c>
      <c r="L3" s="4"/>
      <c r="M3" s="4"/>
      <c r="N3" s="4"/>
      <c r="O3" s="4"/>
      <c r="P3" s="4"/>
      <c r="Q3" s="4"/>
      <c r="R3" s="4"/>
      <c r="S3" s="4"/>
      <c r="T3" s="4"/>
      <c r="U3" s="18"/>
      <c r="V3" s="18"/>
      <c r="W3" s="18"/>
    </row>
    <row r="4">
      <c r="A4" s="7">
        <v>45833.0</v>
      </c>
      <c r="B4" s="9">
        <v>0.36319444444444443</v>
      </c>
      <c r="C4" s="1" t="s">
        <v>28</v>
      </c>
      <c r="D4" s="1" t="s">
        <v>30</v>
      </c>
      <c r="E4" s="1">
        <v>17.03425</v>
      </c>
      <c r="F4" s="1">
        <v>-61.91316</v>
      </c>
      <c r="G4" s="1" t="s">
        <v>33</v>
      </c>
      <c r="H4" s="1" t="s">
        <v>35</v>
      </c>
      <c r="I4" s="3" t="s">
        <v>47</v>
      </c>
      <c r="J4" s="11">
        <v>45978.0</v>
      </c>
      <c r="K4" s="4">
        <f t="shared" si="1"/>
        <v>145</v>
      </c>
      <c r="L4" s="4"/>
      <c r="M4" s="4"/>
      <c r="N4" s="4"/>
      <c r="O4" s="4"/>
      <c r="P4" s="4"/>
      <c r="Q4" s="4"/>
      <c r="R4" s="4"/>
      <c r="S4" s="4"/>
      <c r="T4" s="4"/>
      <c r="U4" s="18"/>
      <c r="V4" s="18"/>
      <c r="W4" s="18"/>
    </row>
    <row r="5" ht="16.5" customHeight="1">
      <c r="A5" s="7">
        <v>45834.0</v>
      </c>
      <c r="B5" s="9">
        <v>0.7222222222222222</v>
      </c>
      <c r="C5" s="1" t="s">
        <v>28</v>
      </c>
      <c r="D5" s="1" t="s">
        <v>30</v>
      </c>
      <c r="E5" s="1">
        <v>17.03326</v>
      </c>
      <c r="F5" s="1">
        <v>-61.91339</v>
      </c>
      <c r="G5" s="1" t="s">
        <v>33</v>
      </c>
      <c r="H5" s="1" t="s">
        <v>35</v>
      </c>
      <c r="I5" s="3" t="s">
        <v>48</v>
      </c>
      <c r="J5" s="11">
        <v>45978.0</v>
      </c>
      <c r="K5" s="4">
        <f t="shared" si="1"/>
        <v>144</v>
      </c>
      <c r="L5" s="4"/>
      <c r="M5" s="4"/>
      <c r="N5" s="4"/>
      <c r="O5" s="4"/>
      <c r="P5" s="4"/>
      <c r="Q5" s="4"/>
      <c r="R5" s="4"/>
      <c r="S5" s="4"/>
      <c r="T5" s="4"/>
      <c r="U5" s="18"/>
      <c r="V5" s="18"/>
      <c r="W5" s="18"/>
    </row>
  </sheetData>
  <drawing r:id="rId1"/>
</worksheet>
</file>