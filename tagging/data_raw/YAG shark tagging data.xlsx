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tadata" sheetId="1" r:id="rId4"/>
    <sheet state="visible" name="Lookup" sheetId="2" r:id="rId5"/>
    <sheet state="visible" name="Capture data" sheetId="3" r:id="rId6"/>
    <sheet state="visible" name="Sets" sheetId="4" r:id="rId7"/>
    <sheet state="visible" name="BRUV" sheetId="5" r:id="rId8"/>
    <sheet state="visible" name="prelim_workup" sheetId="6" r:id="rId9"/>
  </sheets>
  <definedNames>
    <definedName hidden="1" localSheetId="2" name="_xlnm._FilterDatabase">'Capture data'!$A$1:$AP$211</definedName>
  </definedNames>
  <calcPr/>
  <extLst>
    <ext uri="GoogleSheetsCustomDataVersion2">
      <go:sheetsCustomData xmlns:go="http://customooxmlschemas.google.com/" r:id="rId10" roundtripDataChecksum="HblDrrK25bAqtB6F9F1vmW07HwT872ct+quGnG+JK9M="/>
    </ext>
  </extLst>
</workbook>
</file>

<file path=xl/sharedStrings.xml><?xml version="1.0" encoding="utf-8"?>
<sst xmlns="http://schemas.openxmlformats.org/spreadsheetml/2006/main" count="11385" uniqueCount="2130">
  <si>
    <t xml:space="preserve">Expedition: </t>
  </si>
  <si>
    <t>Saba bank pregnant tiger shark 2021</t>
  </si>
  <si>
    <t>Bait:</t>
  </si>
  <si>
    <t>Data gathered:</t>
  </si>
  <si>
    <t>Species codes:</t>
  </si>
  <si>
    <t>S = Snapper</t>
  </si>
  <si>
    <t>Hook</t>
  </si>
  <si>
    <t>set number</t>
  </si>
  <si>
    <t>Dates:</t>
  </si>
  <si>
    <t>CRS</t>
  </si>
  <si>
    <t>01/08/2021 - 06/08/2021</t>
  </si>
  <si>
    <t>Caribbean reef shark</t>
  </si>
  <si>
    <t>BS = Blackfin snapper</t>
  </si>
  <si>
    <t>result</t>
  </si>
  <si>
    <t>BU = bait untouched; BB = bait bitten; BG = bait gone; SH = shark (plus shark number); OTH = other (see comments)</t>
  </si>
  <si>
    <t>TS</t>
  </si>
  <si>
    <t>Tiger shark</t>
  </si>
  <si>
    <t>Location:</t>
  </si>
  <si>
    <t>YS = Yellow eye snapper</t>
  </si>
  <si>
    <t>Saba_bank</t>
  </si>
  <si>
    <t>shark ID</t>
  </si>
  <si>
    <t>shark number in sequence</t>
  </si>
  <si>
    <t>NS</t>
  </si>
  <si>
    <t>Nurse shark</t>
  </si>
  <si>
    <t>VS = Vermillion snapper</t>
  </si>
  <si>
    <t>Bait</t>
  </si>
  <si>
    <t>BH = bonito head, BM = bonito mid, BT = bonito tail; BF = whole bonito fish, CRS = caribbean reef shark; UNK = unknown</t>
  </si>
  <si>
    <t>JB = Japanese bait</t>
  </si>
  <si>
    <t>TL</t>
  </si>
  <si>
    <t>total length; length from snout to upper lobe of tail fin</t>
  </si>
  <si>
    <t>year</t>
  </si>
  <si>
    <t>BT = Bonito tail</t>
  </si>
  <si>
    <t>Participants:</t>
  </si>
  <si>
    <t>FL</t>
  </si>
  <si>
    <t>Project</t>
  </si>
  <si>
    <t>fork length; length from snout to fork in tail</t>
  </si>
  <si>
    <t>Sites:</t>
  </si>
  <si>
    <t>month</t>
  </si>
  <si>
    <t>BART = Barracuda tail</t>
  </si>
  <si>
    <t>PCL</t>
  </si>
  <si>
    <t>precaudal length; length from snout to caudal pit</t>
  </si>
  <si>
    <t>date</t>
  </si>
  <si>
    <t>BM = Bonito mid</t>
  </si>
  <si>
    <t>location</t>
  </si>
  <si>
    <t>girth</t>
  </si>
  <si>
    <t>Giancarlo Nunes</t>
  </si>
  <si>
    <t>circumference of shark between pectoral and dorsal fin</t>
  </si>
  <si>
    <t>FPNA</t>
  </si>
  <si>
    <t>site</t>
  </si>
  <si>
    <t>BAM = Barracuda mid</t>
  </si>
  <si>
    <t>moonfish_reef</t>
  </si>
  <si>
    <t>Year</t>
  </si>
  <si>
    <t>blood</t>
  </si>
  <si>
    <t>waypoint</t>
  </si>
  <si>
    <t>indicated with sample number</t>
  </si>
  <si>
    <t>Month</t>
  </si>
  <si>
    <t>BAH = Barracuda head</t>
  </si>
  <si>
    <t>Day</t>
  </si>
  <si>
    <t>method</t>
  </si>
  <si>
    <t>Ultrasound</t>
  </si>
  <si>
    <t>indicated with ultrasound number</t>
  </si>
  <si>
    <t>shark_id</t>
  </si>
  <si>
    <t>latitude</t>
  </si>
  <si>
    <t>Tadzio Bervoets</t>
  </si>
  <si>
    <t>WG = White grunt</t>
  </si>
  <si>
    <t>DCNA</t>
  </si>
  <si>
    <t>name</t>
  </si>
  <si>
    <t>longitude</t>
  </si>
  <si>
    <t>poison_bank</t>
  </si>
  <si>
    <t>depth_(m)</t>
  </si>
  <si>
    <t>PIT</t>
  </si>
  <si>
    <t>set</t>
  </si>
  <si>
    <t>internal chip</t>
  </si>
  <si>
    <t>Roxanne-Liana Francisca</t>
  </si>
  <si>
    <t>check</t>
  </si>
  <si>
    <t>STINAPA</t>
  </si>
  <si>
    <t>C = Coney</t>
  </si>
  <si>
    <t>Floy</t>
  </si>
  <si>
    <t>hook_number</t>
  </si>
  <si>
    <t>orange CSC tags</t>
  </si>
  <si>
    <t>time_in</t>
  </si>
  <si>
    <t>RBP = Red band parrotfish</t>
  </si>
  <si>
    <t>Sattelite tag</t>
  </si>
  <si>
    <t>serial and PITT number</t>
  </si>
  <si>
    <t>time_in_cor</t>
  </si>
  <si>
    <t>Paulo Bertuol</t>
  </si>
  <si>
    <t>P = Porgy</t>
  </si>
  <si>
    <t>Cloacal swab</t>
  </si>
  <si>
    <t>0 = no cloacal swab; 1 = cloacal swab performed</t>
  </si>
  <si>
    <t>Shark names:</t>
  </si>
  <si>
    <t>CW = cotton wick</t>
  </si>
  <si>
    <t>DNA</t>
  </si>
  <si>
    <t>taken in form of fin clip; 0 = no DNA taken, 1 = DNA taken</t>
  </si>
  <si>
    <t>time_check_1</t>
  </si>
  <si>
    <t>time</t>
  </si>
  <si>
    <t xml:space="preserve">RH= Red Hind </t>
  </si>
  <si>
    <t>Method</t>
  </si>
  <si>
    <t>Guido Leurs</t>
  </si>
  <si>
    <t>bait</t>
  </si>
  <si>
    <t>DL = regular drumline, BDL = dumline with a bottom hook</t>
  </si>
  <si>
    <t>Uni Groningen</t>
  </si>
  <si>
    <t>time_check_2</t>
  </si>
  <si>
    <t>species_sn</t>
  </si>
  <si>
    <t xml:space="preserve">CG = Ceasar grunt </t>
  </si>
  <si>
    <t>Male</t>
  </si>
  <si>
    <t>Stage</t>
  </si>
  <si>
    <t>species_cn</t>
  </si>
  <si>
    <t>time_check_3</t>
  </si>
  <si>
    <t>Adult = adult, SUB = sub-adult, Juvenile = juvenile</t>
  </si>
  <si>
    <t>sex</t>
  </si>
  <si>
    <t>Female</t>
  </si>
  <si>
    <t>AJ = Amber jack</t>
  </si>
  <si>
    <t>time_haul</t>
  </si>
  <si>
    <t>TL_(cm)</t>
  </si>
  <si>
    <t>AJM = Amber jack mid</t>
  </si>
  <si>
    <t>time_haul_cor</t>
  </si>
  <si>
    <t>FL_(cm)</t>
  </si>
  <si>
    <t>AJH = Amber jack head</t>
  </si>
  <si>
    <t>PCL_(cm)</t>
  </si>
  <si>
    <t>Arjan de Groene</t>
  </si>
  <si>
    <t>RR = rod &amp; reel; HL = handline</t>
  </si>
  <si>
    <t>girth_(cm)</t>
  </si>
  <si>
    <t>BW = Bonito whole</t>
  </si>
  <si>
    <t>WWF-NL</t>
  </si>
  <si>
    <t>rod/line number</t>
  </si>
  <si>
    <t>comments</t>
  </si>
  <si>
    <t>Maestro Angelo</t>
  </si>
  <si>
    <t>CO_live = Coney alive</t>
  </si>
  <si>
    <t>Chloe Brigitte</t>
  </si>
  <si>
    <t>FLOY</t>
  </si>
  <si>
    <t>BU = bait untouched; BB = bait bitten; BG = bait gone; S = shark (plus shark number); OTH = other (see comments)</t>
  </si>
  <si>
    <t>Acoustic_ID</t>
  </si>
  <si>
    <t>ESCT = Escolar tail</t>
  </si>
  <si>
    <t>Vemco_Serial</t>
  </si>
  <si>
    <t>Ayumi Kuramae</t>
  </si>
  <si>
    <t>NST = Nurse shark tail</t>
  </si>
  <si>
    <t>SCF</t>
  </si>
  <si>
    <t>SAT_serial</t>
  </si>
  <si>
    <t>Cornelis Sprado</t>
  </si>
  <si>
    <t>BH = bonito head, BM = bonito mid, BT = bonito tail; CRS = caribbean reef shark; UNK = unknown; OB = Whole bonito</t>
  </si>
  <si>
    <t>satellite_PITT</t>
  </si>
  <si>
    <t>Oma Brigitte</t>
  </si>
  <si>
    <t>NS = Nurse shark</t>
  </si>
  <si>
    <t>ultrasound</t>
  </si>
  <si>
    <t>NSH = Nurse shark head</t>
  </si>
  <si>
    <t>cloacal_swab</t>
  </si>
  <si>
    <t>RSM = Reef shark mid</t>
  </si>
  <si>
    <t>October</t>
  </si>
  <si>
    <t>muscle_sample_nr</t>
  </si>
  <si>
    <t>Dahlia Hassell</t>
  </si>
  <si>
    <t>The Bridge</t>
  </si>
  <si>
    <t>ESCH = Escolar head</t>
  </si>
  <si>
    <t>recapture</t>
  </si>
  <si>
    <t>Castor Sprado</t>
  </si>
  <si>
    <t>DL</t>
  </si>
  <si>
    <t>Koekie</t>
  </si>
  <si>
    <t>18.01.182</t>
  </si>
  <si>
    <t>LF = Lion fish</t>
  </si>
  <si>
    <t>63.06.266</t>
  </si>
  <si>
    <t>BH = Bonito head</t>
  </si>
  <si>
    <t>Marijn van der Laan</t>
  </si>
  <si>
    <t>BAT = Barracuda Tail</t>
  </si>
  <si>
    <t>Ijzer</t>
  </si>
  <si>
    <t>Kinky</t>
  </si>
  <si>
    <t>Francois Mille</t>
  </si>
  <si>
    <t>GR = Grouper</t>
  </si>
  <si>
    <t>STENAPA</t>
  </si>
  <si>
    <t>SoS</t>
  </si>
  <si>
    <t>orange or yellow  tags</t>
  </si>
  <si>
    <t>Aldo</t>
  </si>
  <si>
    <t>Felix Bamborough</t>
  </si>
  <si>
    <t>BRH = Blue Runner Head</t>
  </si>
  <si>
    <t>08:40:00</t>
  </si>
  <si>
    <t>BRT = Blue Runner Tail</t>
  </si>
  <si>
    <t>Marit Pistor</t>
  </si>
  <si>
    <t>-</t>
  </si>
  <si>
    <t>UN</t>
  </si>
  <si>
    <t>Oom Neef</t>
  </si>
  <si>
    <t>Acoustic</t>
  </si>
  <si>
    <t>Nuka</t>
  </si>
  <si>
    <t>Adam</t>
  </si>
  <si>
    <t>ID number of the acoustic tag</t>
  </si>
  <si>
    <t>Rod-Hook</t>
  </si>
  <si>
    <t xml:space="preserve">Serial </t>
  </si>
  <si>
    <t>Serial number of the Acoustic tag</t>
  </si>
  <si>
    <t>Melanie Meijer</t>
  </si>
  <si>
    <t>NFSXM</t>
  </si>
  <si>
    <t>11:17:00</t>
  </si>
  <si>
    <t>Saba</t>
  </si>
  <si>
    <t>BRH</t>
  </si>
  <si>
    <t>RR = rod &amp; reel; HL = handline; DLb = Drumline bottomset; DL = Drumline regular</t>
  </si>
  <si>
    <t>Leslie Hickerson</t>
  </si>
  <si>
    <t>Shark Shoal</t>
  </si>
  <si>
    <t>Jap bait</t>
  </si>
  <si>
    <t>Carcharhinus perezii</t>
  </si>
  <si>
    <t>18.01.059</t>
  </si>
  <si>
    <t>63.06.106</t>
  </si>
  <si>
    <t>Caribbean Reef Shark</t>
  </si>
  <si>
    <t>M</t>
  </si>
  <si>
    <t>NA</t>
  </si>
  <si>
    <t>08:47:00</t>
  </si>
  <si>
    <t>Daniel Norwood</t>
  </si>
  <si>
    <t>SXM Divers (photographer)</t>
  </si>
  <si>
    <t>11:35:00</t>
  </si>
  <si>
    <t>BRH+BRT</t>
  </si>
  <si>
    <t>Shark 9</t>
  </si>
  <si>
    <t>Brooke Anderson</t>
  </si>
  <si>
    <t>Arizona State University</t>
  </si>
  <si>
    <t>Sami Kattan</t>
  </si>
  <si>
    <t>Beneath the Waves (videographer)</t>
  </si>
  <si>
    <t>18.01.007</t>
  </si>
  <si>
    <t>63.05.926</t>
  </si>
  <si>
    <t>Walter Hynds</t>
  </si>
  <si>
    <t>08:50:00</t>
  </si>
  <si>
    <t>Barbara</t>
  </si>
  <si>
    <t>Tom Brokke</t>
  </si>
  <si>
    <t>Zachary Johnson</t>
  </si>
  <si>
    <t>NA.</t>
  </si>
  <si>
    <t>12:21:00</t>
  </si>
  <si>
    <t>Emily Malsack</t>
  </si>
  <si>
    <t>Sea&amp;Learn</t>
  </si>
  <si>
    <t>F</t>
  </si>
  <si>
    <t>Moonscape</t>
  </si>
  <si>
    <t>18.00.645</t>
  </si>
  <si>
    <t>63.05.645</t>
  </si>
  <si>
    <t>08:59:00</t>
  </si>
  <si>
    <t>12:05:00</t>
  </si>
  <si>
    <t>BRT</t>
  </si>
  <si>
    <t>RTL TV Expedition 2022</t>
  </si>
  <si>
    <t>Chelsea</t>
  </si>
  <si>
    <t>18.00.899</t>
  </si>
  <si>
    <t>63.05.378</t>
  </si>
  <si>
    <t>Third Encounter</t>
  </si>
  <si>
    <t>25/11/2022 - 29/11/2022</t>
  </si>
  <si>
    <t>09:05:00</t>
  </si>
  <si>
    <t>12:10:00</t>
  </si>
  <si>
    <t>St Maarten</t>
  </si>
  <si>
    <t>18.01.308</t>
  </si>
  <si>
    <t>63.06.478</t>
  </si>
  <si>
    <t>Dahlia</t>
  </si>
  <si>
    <t>12:17:00</t>
  </si>
  <si>
    <t>Twilight Zone</t>
  </si>
  <si>
    <t>Black Jack</t>
  </si>
  <si>
    <t>SXM</t>
  </si>
  <si>
    <t>Beacon Hill</t>
  </si>
  <si>
    <t>18.02.238</t>
  </si>
  <si>
    <t>63.06.620</t>
  </si>
  <si>
    <t>10:25:00</t>
  </si>
  <si>
    <t>Kai Wulf</t>
  </si>
  <si>
    <t>18:00:00</t>
  </si>
  <si>
    <t>BM/BM/BM+SN</t>
  </si>
  <si>
    <t>Eric</t>
  </si>
  <si>
    <t>18.01.893</t>
  </si>
  <si>
    <t>63.06.635</t>
  </si>
  <si>
    <t>10:43:00</t>
  </si>
  <si>
    <t>Erwin Winter</t>
  </si>
  <si>
    <t>WMR</t>
  </si>
  <si>
    <t>17:30:00</t>
  </si>
  <si>
    <t>BM/BM+SN</t>
  </si>
  <si>
    <t>Shark 14</t>
  </si>
  <si>
    <t>Fifi</t>
  </si>
  <si>
    <t>Jeroen Ham</t>
  </si>
  <si>
    <t>18.01.736</t>
  </si>
  <si>
    <t>63.06.758</t>
  </si>
  <si>
    <t>Francesco Pelizza</t>
  </si>
  <si>
    <t>10:44:00</t>
  </si>
  <si>
    <t>14:19:00</t>
  </si>
  <si>
    <t>BT</t>
  </si>
  <si>
    <t>Shark 10</t>
  </si>
  <si>
    <t>Delhon Hewitt</t>
  </si>
  <si>
    <t>Gonzalo</t>
  </si>
  <si>
    <t>18.01.481</t>
  </si>
  <si>
    <t>Longline-monofyl</t>
  </si>
  <si>
    <t>63.06.969</t>
  </si>
  <si>
    <t>Chrsital</t>
  </si>
  <si>
    <t>Green Island</t>
  </si>
  <si>
    <t>10:54:00</t>
  </si>
  <si>
    <t>Blue runner</t>
  </si>
  <si>
    <t>15:15:00</t>
  </si>
  <si>
    <t>Zakiya</t>
  </si>
  <si>
    <t>Shark 11</t>
  </si>
  <si>
    <t>18.01.360</t>
  </si>
  <si>
    <t>63.07.046</t>
  </si>
  <si>
    <t>11:03:00</t>
  </si>
  <si>
    <t>Hilde</t>
  </si>
  <si>
    <t>Kevin</t>
  </si>
  <si>
    <t>15:50:00</t>
  </si>
  <si>
    <t>BH</t>
  </si>
  <si>
    <t>Ginglymostoma cirratum</t>
  </si>
  <si>
    <t>Isebio</t>
  </si>
  <si>
    <t>18.01.310</t>
  </si>
  <si>
    <t>63.06.952</t>
  </si>
  <si>
    <t>11:14:00</t>
  </si>
  <si>
    <t>Naline</t>
  </si>
  <si>
    <t>15:57:00</t>
  </si>
  <si>
    <t>BM/BM</t>
  </si>
  <si>
    <t>Shark 12</t>
  </si>
  <si>
    <t>Joshua</t>
  </si>
  <si>
    <t>RTL-TV</t>
  </si>
  <si>
    <t>Ira</t>
  </si>
  <si>
    <t>Longline-SSline 1 sinker</t>
  </si>
  <si>
    <t>18.01.226</t>
  </si>
  <si>
    <t>63.06.985</t>
  </si>
  <si>
    <t>Timo</t>
  </si>
  <si>
    <t>Hole in the Corner</t>
  </si>
  <si>
    <t>Red Hind</t>
  </si>
  <si>
    <t>11:20:00</t>
  </si>
  <si>
    <t>Boris</t>
  </si>
  <si>
    <t>16:20:00</t>
  </si>
  <si>
    <t>BM</t>
  </si>
  <si>
    <t>Shark 9, recap</t>
  </si>
  <si>
    <t>Valerie</t>
  </si>
  <si>
    <t>18.01.130</t>
  </si>
  <si>
    <t>Elisabeth Feller</t>
  </si>
  <si>
    <t>63.06.883</t>
  </si>
  <si>
    <t>Jelle</t>
  </si>
  <si>
    <t>11:25:00</t>
  </si>
  <si>
    <t>SE Big rock market</t>
  </si>
  <si>
    <t>Kim</t>
  </si>
  <si>
    <t>Scubashop</t>
  </si>
  <si>
    <t>16:40:00</t>
  </si>
  <si>
    <t>Blackfin snapper +jap bait</t>
  </si>
  <si>
    <t>BM+SN/BM+GR</t>
  </si>
  <si>
    <t>Shark 13</t>
  </si>
  <si>
    <t>18.01.019</t>
  </si>
  <si>
    <t>63.06.829</t>
  </si>
  <si>
    <t>VEMCO WMR 2022</t>
  </si>
  <si>
    <t>11:30:00</t>
  </si>
  <si>
    <t>Kathy</t>
  </si>
  <si>
    <t>Lobster Pot</t>
  </si>
  <si>
    <t>17:15:00</t>
  </si>
  <si>
    <t>18 Nov 2022 - 20 Nov 2022</t>
  </si>
  <si>
    <t>Green Island (200 m E)</t>
  </si>
  <si>
    <t>cow-skin</t>
  </si>
  <si>
    <t>Saba Bank &amp; Saba Marine Park</t>
  </si>
  <si>
    <t>18.00.916</t>
  </si>
  <si>
    <t>63.06.762</t>
  </si>
  <si>
    <t>11:37:00</t>
  </si>
  <si>
    <t>set for several weeks,  nurse shark was very lively</t>
  </si>
  <si>
    <t>17:16:00</t>
  </si>
  <si>
    <t>Lea</t>
  </si>
  <si>
    <t>Green Island (400 m E)</t>
  </si>
  <si>
    <t>18.02.142</t>
  </si>
  <si>
    <t>63.07.068</t>
  </si>
  <si>
    <t>day</t>
  </si>
  <si>
    <t>10:45:00</t>
  </si>
  <si>
    <t>15:03:00</t>
  </si>
  <si>
    <t>BM+GR</t>
  </si>
  <si>
    <t>Shark Shoals</t>
  </si>
  <si>
    <t>drop</t>
  </si>
  <si>
    <t>depth_(ft)</t>
  </si>
  <si>
    <t>camera</t>
  </si>
  <si>
    <t>bait_result</t>
  </si>
  <si>
    <t>Outer Limits</t>
  </si>
  <si>
    <t>time_out</t>
  </si>
  <si>
    <t>wind_(kt)</t>
  </si>
  <si>
    <t>Mel</t>
  </si>
  <si>
    <t>18.02.102</t>
  </si>
  <si>
    <t>sea_(m)</t>
  </si>
  <si>
    <t>63.07.119</t>
  </si>
  <si>
    <t>swell_(m)</t>
  </si>
  <si>
    <t>cloud_cover</t>
  </si>
  <si>
    <t>tide</t>
  </si>
  <si>
    <t>Poison Bank</t>
  </si>
  <si>
    <t>10:50:00</t>
  </si>
  <si>
    <t>15:05:00</t>
  </si>
  <si>
    <t>Fish Bowl</t>
  </si>
  <si>
    <t>BM/BT</t>
  </si>
  <si>
    <t>pilchard head</t>
  </si>
  <si>
    <t>17°32.997</t>
  </si>
  <si>
    <t>63°16.757</t>
  </si>
  <si>
    <t>18.02.017</t>
  </si>
  <si>
    <t>63.07.169</t>
  </si>
  <si>
    <t>hero_4</t>
  </si>
  <si>
    <t>Bart Noort</t>
  </si>
  <si>
    <t>lionfish</t>
  </si>
  <si>
    <t>BU</t>
  </si>
  <si>
    <t>10:55:00</t>
  </si>
  <si>
    <t>July</t>
  </si>
  <si>
    <t>Noor</t>
  </si>
  <si>
    <t>15:08:00</t>
  </si>
  <si>
    <t>3 (ft)</t>
  </si>
  <si>
    <t>Rick Verkooijen</t>
  </si>
  <si>
    <t>HVHL</t>
  </si>
  <si>
    <t>High</t>
  </si>
  <si>
    <t>Statia</t>
  </si>
  <si>
    <t>The Gorge</t>
  </si>
  <si>
    <t>fresh barracuda</t>
  </si>
  <si>
    <t>17°33.964</t>
  </si>
  <si>
    <t>63°18.133</t>
  </si>
  <si>
    <t>hero_5</t>
  </si>
  <si>
    <t>18.02.001</t>
  </si>
  <si>
    <t>63.07.244</t>
  </si>
  <si>
    <t>Low</t>
  </si>
  <si>
    <t>10:58:00</t>
  </si>
  <si>
    <t>17°33.710</t>
  </si>
  <si>
    <t>15:10:00</t>
  </si>
  <si>
    <t>63°17.717</t>
  </si>
  <si>
    <t>few remora's accompagning it and waiting near the boat until the nurse was released again!</t>
  </si>
  <si>
    <t>grunt</t>
  </si>
  <si>
    <t>November</t>
  </si>
  <si>
    <t>Medium</t>
  </si>
  <si>
    <t>Olivia</t>
  </si>
  <si>
    <t>18.01.927</t>
  </si>
  <si>
    <t>17°33.432</t>
  </si>
  <si>
    <t>63.07.380</t>
  </si>
  <si>
    <t>Saba Bank</t>
  </si>
  <si>
    <t>63°17.311</t>
  </si>
  <si>
    <t>Jap bait/barracuda</t>
  </si>
  <si>
    <t>hero_8</t>
  </si>
  <si>
    <t>11:00:00</t>
  </si>
  <si>
    <t>BB</t>
  </si>
  <si>
    <t>15:12:00</t>
  </si>
  <si>
    <t>Camera not on</t>
  </si>
  <si>
    <t>BH/BM</t>
  </si>
  <si>
    <t>17°34.070</t>
  </si>
  <si>
    <t>63°18.236</t>
  </si>
  <si>
    <t>At receiver 75</t>
  </si>
  <si>
    <t>Puck Heerink</t>
  </si>
  <si>
    <t>Paddy</t>
  </si>
  <si>
    <t>17°32.440</t>
  </si>
  <si>
    <t>63°17.306</t>
  </si>
  <si>
    <t>BG</t>
  </si>
  <si>
    <t>RUG</t>
  </si>
  <si>
    <t>17°33.504</t>
  </si>
  <si>
    <t>63°17.240</t>
  </si>
  <si>
    <t>Jilles Sijbrandij</t>
  </si>
  <si>
    <t>17°30.079</t>
  </si>
  <si>
    <t>63°14.533</t>
  </si>
  <si>
    <t>parrotfish</t>
  </si>
  <si>
    <t xml:space="preserve">Jan-Luca </t>
  </si>
  <si>
    <t>17°29.292</t>
  </si>
  <si>
    <t>63°14.024</t>
  </si>
  <si>
    <t>Queenie</t>
  </si>
  <si>
    <t>surgeonfish</t>
  </si>
  <si>
    <t>Madi Danker</t>
  </si>
  <si>
    <t>Volunteer</t>
  </si>
  <si>
    <t>17°30.044</t>
  </si>
  <si>
    <t>63°14.544</t>
  </si>
  <si>
    <t>coney</t>
  </si>
  <si>
    <t>18.01.904</t>
  </si>
  <si>
    <t>Lissette Beltran</t>
  </si>
  <si>
    <t>63.07.531</t>
  </si>
  <si>
    <t>11:05:00</t>
  </si>
  <si>
    <t>15:16:00</t>
  </si>
  <si>
    <t>17°29.351</t>
  </si>
  <si>
    <t>Rebecca</t>
  </si>
  <si>
    <t>63°14.032</t>
  </si>
  <si>
    <t>BM+GR/BM</t>
  </si>
  <si>
    <t>doctorfish</t>
  </si>
  <si>
    <t>17°30.181</t>
  </si>
  <si>
    <t>63°14.510</t>
  </si>
  <si>
    <t>18.01.892</t>
  </si>
  <si>
    <t>63.07.652</t>
  </si>
  <si>
    <t>Suus</t>
  </si>
  <si>
    <t>11:08:00</t>
  </si>
  <si>
    <t>17°33.466</t>
  </si>
  <si>
    <t>15:18:00</t>
  </si>
  <si>
    <t>63°17.030</t>
  </si>
  <si>
    <t>BM/BH</t>
  </si>
  <si>
    <t>queentriggerfish_skin</t>
  </si>
  <si>
    <t>Porpoise</t>
  </si>
  <si>
    <t>Camera on an angle</t>
  </si>
  <si>
    <t>18.01.881</t>
  </si>
  <si>
    <t>63.07.733</t>
  </si>
  <si>
    <t>17°32.564</t>
  </si>
  <si>
    <t>63°16.616</t>
  </si>
  <si>
    <t>Tadzio</t>
  </si>
  <si>
    <t>11:11:00</t>
  </si>
  <si>
    <t>15:25:00</t>
  </si>
  <si>
    <t>VEMCO WMR and YAG</t>
  </si>
  <si>
    <t>17°33.492</t>
  </si>
  <si>
    <t>63°17.085</t>
  </si>
  <si>
    <t>18.01.833</t>
  </si>
  <si>
    <t>18 Nov 2022 - 20 Nov 2022 (and November/December 2023</t>
  </si>
  <si>
    <t>63.07.802</t>
  </si>
  <si>
    <t>January</t>
  </si>
  <si>
    <t>Urs</t>
  </si>
  <si>
    <t>11:15:00</t>
  </si>
  <si>
    <t>17°32.650</t>
  </si>
  <si>
    <t>63°16.601</t>
  </si>
  <si>
    <t>15:28:00</t>
  </si>
  <si>
    <t>BT+GR/BM</t>
  </si>
  <si>
    <t>17°30.222</t>
  </si>
  <si>
    <t>63°14.327</t>
  </si>
  <si>
    <t>18.01.737</t>
  </si>
  <si>
    <t>At receiver 77 (wreck)</t>
  </si>
  <si>
    <t>63.07.798</t>
  </si>
  <si>
    <t>Vera</t>
  </si>
  <si>
    <t>15:33:00</t>
  </si>
  <si>
    <t>17°29.217</t>
  </si>
  <si>
    <t>63°14.292</t>
  </si>
  <si>
    <t>Pelican</t>
  </si>
  <si>
    <t>18.01.539</t>
  </si>
  <si>
    <t>17°30.320</t>
  </si>
  <si>
    <t>63.05.667</t>
  </si>
  <si>
    <t>63°14.586</t>
  </si>
  <si>
    <t>09:01:00</t>
  </si>
  <si>
    <t>Wulf</t>
  </si>
  <si>
    <t>13:32:00</t>
  </si>
  <si>
    <t>17°29.254</t>
  </si>
  <si>
    <t>63°14.372</t>
  </si>
  <si>
    <t xml:space="preserve"> </t>
  </si>
  <si>
    <t>18.01.348</t>
  </si>
  <si>
    <t>63.05.807</t>
  </si>
  <si>
    <t>09:06:00</t>
  </si>
  <si>
    <t>17°30.395</t>
  </si>
  <si>
    <t>13:35:00</t>
  </si>
  <si>
    <t>63°14.700</t>
  </si>
  <si>
    <t>BT/BM</t>
  </si>
  <si>
    <t>Xena</t>
  </si>
  <si>
    <t>Charlie Shoal</t>
  </si>
  <si>
    <t>17°29.314</t>
  </si>
  <si>
    <t>18.01.131</t>
  </si>
  <si>
    <t>63°14.453</t>
  </si>
  <si>
    <t>63.06.071</t>
  </si>
  <si>
    <t>09:12:00</t>
  </si>
  <si>
    <t>16:07:00</t>
  </si>
  <si>
    <t>Shark 15</t>
  </si>
  <si>
    <t>Yvette</t>
  </si>
  <si>
    <t>0.646 nm east from receiver 76</t>
  </si>
  <si>
    <t>18.01.069</t>
  </si>
  <si>
    <t>63.06.192</t>
  </si>
  <si>
    <t>barracuda</t>
  </si>
  <si>
    <t>09:15:00</t>
  </si>
  <si>
    <t>04:44:00</t>
  </si>
  <si>
    <t>Shark 16</t>
  </si>
  <si>
    <t>Zorro</t>
  </si>
  <si>
    <t>18.01.107</t>
  </si>
  <si>
    <t>63.06.315</t>
  </si>
  <si>
    <t>09:18:00</t>
  </si>
  <si>
    <t>17:02:00</t>
  </si>
  <si>
    <t>Grand Canyon near receiver 480311</t>
  </si>
  <si>
    <t>18.01.217</t>
  </si>
  <si>
    <t>63.06.367</t>
  </si>
  <si>
    <t>Angel</t>
  </si>
  <si>
    <t>09:21:00</t>
  </si>
  <si>
    <t>18.00.973</t>
  </si>
  <si>
    <t>63.06.623</t>
  </si>
  <si>
    <t>Jasper Raijmakers</t>
  </si>
  <si>
    <t>09:25:00</t>
  </si>
  <si>
    <t>17:06:00</t>
  </si>
  <si>
    <t>Laura Jonker</t>
  </si>
  <si>
    <t>Belle</t>
  </si>
  <si>
    <t>18.00.847</t>
  </si>
  <si>
    <t>63.06.575</t>
  </si>
  <si>
    <t>Owen Clements</t>
  </si>
  <si>
    <t>09:29:00</t>
  </si>
  <si>
    <t>17:25:00</t>
  </si>
  <si>
    <t>Otto de Vries</t>
  </si>
  <si>
    <t>18.01.006</t>
  </si>
  <si>
    <t>63.06.826</t>
  </si>
  <si>
    <t>09:33:00</t>
  </si>
  <si>
    <t>17:19:00</t>
  </si>
  <si>
    <t>18.00.976</t>
  </si>
  <si>
    <t>63.06.992</t>
  </si>
  <si>
    <t>09:37:00</t>
  </si>
  <si>
    <t>17:17:00</t>
  </si>
  <si>
    <t>DLB</t>
  </si>
  <si>
    <t>18.02.241</t>
  </si>
  <si>
    <t>63.06.678</t>
  </si>
  <si>
    <t>13:40:00</t>
  </si>
  <si>
    <t>17:34:00</t>
  </si>
  <si>
    <t>18.02.076</t>
  </si>
  <si>
    <t>63.06.604</t>
  </si>
  <si>
    <t>13:44:00</t>
  </si>
  <si>
    <t>17:40:00</t>
  </si>
  <si>
    <t>Shark 17</t>
  </si>
  <si>
    <t>Point Blanche</t>
  </si>
  <si>
    <t>18.00.650</t>
  </si>
  <si>
    <t>63.01.961</t>
  </si>
  <si>
    <t>08:48:00</t>
  </si>
  <si>
    <t>10:31:00</t>
  </si>
  <si>
    <t>18.00.758</t>
  </si>
  <si>
    <t>63.01.793</t>
  </si>
  <si>
    <t>Longline</t>
  </si>
  <si>
    <t>08:56:00</t>
  </si>
  <si>
    <t>10:33:00</t>
  </si>
  <si>
    <t>18.00.545</t>
  </si>
  <si>
    <t>63.01.998</t>
  </si>
  <si>
    <t>09:08:00</t>
  </si>
  <si>
    <t>10:36:00</t>
  </si>
  <si>
    <t>Shark 18</t>
  </si>
  <si>
    <t>18.00.324</t>
  </si>
  <si>
    <t>63.02.306</t>
  </si>
  <si>
    <t>09:13:00</t>
  </si>
  <si>
    <t>11:02:00</t>
  </si>
  <si>
    <t>Shark 19</t>
  </si>
  <si>
    <t>Port</t>
  </si>
  <si>
    <t>18.00.065</t>
  </si>
  <si>
    <t>63.02.666</t>
  </si>
  <si>
    <t>09:17:00</t>
  </si>
  <si>
    <t>11:24:00</t>
  </si>
  <si>
    <t>17.59.873</t>
  </si>
  <si>
    <t>63.02.769</t>
  </si>
  <si>
    <t>09:22:00</t>
  </si>
  <si>
    <t>11:28:00</t>
  </si>
  <si>
    <t>18.00.085</t>
  </si>
  <si>
    <t>63.03.021</t>
  </si>
  <si>
    <t>09:28:00</t>
  </si>
  <si>
    <t>11:33:00</t>
  </si>
  <si>
    <t>May</t>
  </si>
  <si>
    <t>18.00.239</t>
  </si>
  <si>
    <t>Cheyenna</t>
  </si>
  <si>
    <t>63.03.102</t>
  </si>
  <si>
    <t>63.15.9155</t>
  </si>
  <si>
    <t>17.38.7500</t>
  </si>
  <si>
    <t>11:38:00</t>
  </si>
  <si>
    <t>ID7073</t>
  </si>
  <si>
    <t xml:space="preserve">stomach out </t>
  </si>
  <si>
    <t>18.00.145</t>
  </si>
  <si>
    <t>63.03.223</t>
  </si>
  <si>
    <t>Danique</t>
  </si>
  <si>
    <t>Shark shoals</t>
  </si>
  <si>
    <t>11:40:00</t>
  </si>
  <si>
    <t>ID7074</t>
  </si>
  <si>
    <t>18.00.039</t>
  </si>
  <si>
    <t>63.03.290</t>
  </si>
  <si>
    <t>Erwin</t>
  </si>
  <si>
    <t>63.13.3909</t>
  </si>
  <si>
    <t>17.27.4772</t>
  </si>
  <si>
    <t>09:41:00</t>
  </si>
  <si>
    <t>11:47:00</t>
  </si>
  <si>
    <t>Shark 20</t>
  </si>
  <si>
    <t>ID7075</t>
  </si>
  <si>
    <t>Little Bay</t>
  </si>
  <si>
    <t>18.00.886</t>
  </si>
  <si>
    <t>63.04.231</t>
  </si>
  <si>
    <t>Carcharhinus falciformis</t>
  </si>
  <si>
    <t>Silky shark</t>
  </si>
  <si>
    <t>15:35:00</t>
  </si>
  <si>
    <t>Cay Bay</t>
  </si>
  <si>
    <t>18.00.748</t>
  </si>
  <si>
    <t>63.04.258</t>
  </si>
  <si>
    <t>13:36:00</t>
  </si>
  <si>
    <t>15:39:00</t>
  </si>
  <si>
    <t>Floris</t>
  </si>
  <si>
    <t>18.00.520</t>
  </si>
  <si>
    <t>63.13.3475</t>
  </si>
  <si>
    <t>17.27.5580</t>
  </si>
  <si>
    <t>63.04.523</t>
  </si>
  <si>
    <t>13:42:00</t>
  </si>
  <si>
    <t>15:42:00</t>
  </si>
  <si>
    <t>ID7072</t>
  </si>
  <si>
    <t>18.00.398</t>
  </si>
  <si>
    <t>63.04.684</t>
  </si>
  <si>
    <t>13:45:00</t>
  </si>
  <si>
    <t>15:45:00</t>
  </si>
  <si>
    <t>LL</t>
  </si>
  <si>
    <t>18.02.467</t>
  </si>
  <si>
    <t>63.08.468</t>
  </si>
  <si>
    <t>18.00.466</t>
  </si>
  <si>
    <t>Gregory</t>
  </si>
  <si>
    <t>63.04.855</t>
  </si>
  <si>
    <t>13:50:00</t>
  </si>
  <si>
    <t>15:47:00</t>
  </si>
  <si>
    <t>Pilot</t>
  </si>
  <si>
    <t>18.00.573</t>
  </si>
  <si>
    <t>63.05.008</t>
  </si>
  <si>
    <t>13:53:00</t>
  </si>
  <si>
    <t>18.00.512</t>
  </si>
  <si>
    <t>63.05.201</t>
  </si>
  <si>
    <t>18.01.012</t>
  </si>
  <si>
    <t>63.06.323</t>
  </si>
  <si>
    <t>13:57:00</t>
  </si>
  <si>
    <t>Frenchman's Reef</t>
  </si>
  <si>
    <t>Galeocerdo cuvier</t>
  </si>
  <si>
    <t>15:53:00</t>
  </si>
  <si>
    <t>Tiger Shark</t>
  </si>
  <si>
    <t>18.00.487</t>
  </si>
  <si>
    <t>18.01.099</t>
  </si>
  <si>
    <t>63.05.367</t>
  </si>
  <si>
    <t>63.06.262</t>
  </si>
  <si>
    <t>14:00:00</t>
  </si>
  <si>
    <t>18.00.459</t>
  </si>
  <si>
    <t>63.05.620</t>
  </si>
  <si>
    <t>14:03:00</t>
  </si>
  <si>
    <t>18.01.228</t>
  </si>
  <si>
    <t>63.06.383</t>
  </si>
  <si>
    <t>16:00:00</t>
  </si>
  <si>
    <t>18.00.404</t>
  </si>
  <si>
    <t>63.05.806</t>
  </si>
  <si>
    <t>14:07:00</t>
  </si>
  <si>
    <t>16:02:00</t>
  </si>
  <si>
    <t>Mullet Bay</t>
  </si>
  <si>
    <t>63.07.892</t>
  </si>
  <si>
    <t>09:09:00</t>
  </si>
  <si>
    <t>18.01.545</t>
  </si>
  <si>
    <t>63.07.091</t>
  </si>
  <si>
    <t>423BA473/2 Lusca</t>
  </si>
  <si>
    <t>18.02.318</t>
  </si>
  <si>
    <t>63.07.970</t>
  </si>
  <si>
    <t>15:44:00</t>
  </si>
  <si>
    <t>18.01.597</t>
  </si>
  <si>
    <t>63.07.230</t>
  </si>
  <si>
    <t>18.02.138</t>
  </si>
  <si>
    <t>63.07.890</t>
  </si>
  <si>
    <t>Julia</t>
  </si>
  <si>
    <t>15:46:00</t>
  </si>
  <si>
    <t>un</t>
  </si>
  <si>
    <t>BF87FBD</t>
  </si>
  <si>
    <t>1253201-45893</t>
  </si>
  <si>
    <t>Maho Bay</t>
  </si>
  <si>
    <t>18.02.039</t>
  </si>
  <si>
    <t>63.07.700</t>
  </si>
  <si>
    <t>Lynn</t>
  </si>
  <si>
    <t>15:40:00</t>
  </si>
  <si>
    <t>BF87FD9</t>
  </si>
  <si>
    <t>1253199-16571</t>
  </si>
  <si>
    <t>Shark has maybe 2 PIT tags; BF875C6</t>
  </si>
  <si>
    <t>18.01.923</t>
  </si>
  <si>
    <t>63.07.541</t>
  </si>
  <si>
    <t>Yumi</t>
  </si>
  <si>
    <t>BF87F9E</t>
  </si>
  <si>
    <t>15:52:00</t>
  </si>
  <si>
    <t>18.01.800</t>
  </si>
  <si>
    <t>63.07.302</t>
  </si>
  <si>
    <t>BF87FC3</t>
  </si>
  <si>
    <t>09:27:00</t>
  </si>
  <si>
    <t>15:55:00</t>
  </si>
  <si>
    <t>18.01.386</t>
  </si>
  <si>
    <t>63.07.234</t>
  </si>
  <si>
    <t>09:32:00</t>
  </si>
  <si>
    <t>15:59:00</t>
  </si>
  <si>
    <t>BH/BM/BH</t>
  </si>
  <si>
    <t>Anja</t>
  </si>
  <si>
    <t>18.01.049</t>
  </si>
  <si>
    <t>BF87FHF</t>
  </si>
  <si>
    <t>63.06.931</t>
  </si>
  <si>
    <t>09:35:00</t>
  </si>
  <si>
    <t>15:04:00</t>
  </si>
  <si>
    <t>BM+SN</t>
  </si>
  <si>
    <t>Nurse Shark</t>
  </si>
  <si>
    <t>na</t>
  </si>
  <si>
    <t>63.06.878</t>
  </si>
  <si>
    <t>BF87F7F</t>
  </si>
  <si>
    <t>09:39:00</t>
  </si>
  <si>
    <t>15:07:00</t>
  </si>
  <si>
    <t>Tilly?</t>
  </si>
  <si>
    <t>18.00.788</t>
  </si>
  <si>
    <t>BF87FAB</t>
  </si>
  <si>
    <t>63.06.648</t>
  </si>
  <si>
    <t>1253195-16567</t>
  </si>
  <si>
    <t>09:42:00</t>
  </si>
  <si>
    <t>15:13:00</t>
  </si>
  <si>
    <t>1_SB_South_1</t>
  </si>
  <si>
    <t>BF87FA0</t>
  </si>
  <si>
    <t>17.14.657</t>
  </si>
  <si>
    <t>63.26.717</t>
  </si>
  <si>
    <t>10:10:00</t>
  </si>
  <si>
    <t>15:31:00</t>
  </si>
  <si>
    <t>BM/BT/BH</t>
  </si>
  <si>
    <t>1_SB_South_2</t>
  </si>
  <si>
    <t>BF87FD0</t>
  </si>
  <si>
    <t>17.14.676</t>
  </si>
  <si>
    <t>63.26.587</t>
  </si>
  <si>
    <t>10:15:00</t>
  </si>
  <si>
    <t>15:34:00</t>
  </si>
  <si>
    <t>Reef Shark broken loss from the hook before haul</t>
  </si>
  <si>
    <t>1_SB_South_3</t>
  </si>
  <si>
    <t>BF87FC1</t>
  </si>
  <si>
    <t>17.14.724</t>
  </si>
  <si>
    <t>63.26.372</t>
  </si>
  <si>
    <t>03:37:00</t>
  </si>
  <si>
    <t>BF87FBC</t>
  </si>
  <si>
    <t>1_SB_South_4</t>
  </si>
  <si>
    <t>17.14.742</t>
  </si>
  <si>
    <t>63.26.041</t>
  </si>
  <si>
    <t>10:28:00</t>
  </si>
  <si>
    <t>Sea Fairy</t>
  </si>
  <si>
    <t>1_SB_South_5</t>
  </si>
  <si>
    <t>17.14.811</t>
  </si>
  <si>
    <t>15:43:00</t>
  </si>
  <si>
    <t>Shark_22</t>
  </si>
  <si>
    <t>1_SB_South_6</t>
  </si>
  <si>
    <t>17.14.879</t>
  </si>
  <si>
    <t>63.25.899</t>
  </si>
  <si>
    <t>BF87FC2</t>
  </si>
  <si>
    <t>16u0403 Small Standard</t>
  </si>
  <si>
    <t>10:49:00</t>
  </si>
  <si>
    <t>Shark_21</t>
  </si>
  <si>
    <t>1_SB_South_7</t>
  </si>
  <si>
    <t>17.14.914</t>
  </si>
  <si>
    <t>63.25.689</t>
  </si>
  <si>
    <t>10:53:00</t>
  </si>
  <si>
    <t>15:49:00</t>
  </si>
  <si>
    <t>Shark released early due to concerns about health</t>
  </si>
  <si>
    <t>BF87F91</t>
  </si>
  <si>
    <t>17.16.703</t>
  </si>
  <si>
    <t>63.17.482</t>
  </si>
  <si>
    <t>2_SB_South_1</t>
  </si>
  <si>
    <t>BF87FCF</t>
  </si>
  <si>
    <t>17.16.642</t>
  </si>
  <si>
    <t>63.16.826</t>
  </si>
  <si>
    <t>1_SB_South_8</t>
  </si>
  <si>
    <t>2_SB_South_5</t>
  </si>
  <si>
    <t>BF87FE0</t>
  </si>
  <si>
    <t>17.15.006</t>
  </si>
  <si>
    <t>17.16.838</t>
  </si>
  <si>
    <t>63.16.071</t>
  </si>
  <si>
    <t>2_SB_South_6</t>
  </si>
  <si>
    <t>BF87FC9</t>
  </si>
  <si>
    <t>63.25.592</t>
  </si>
  <si>
    <t>17.16.585</t>
  </si>
  <si>
    <t>63.16.465</t>
  </si>
  <si>
    <t>2_SB_South_7</t>
  </si>
  <si>
    <t>SBM</t>
  </si>
  <si>
    <t>BF87FCA</t>
  </si>
  <si>
    <t>15:51:00</t>
  </si>
  <si>
    <t>1_SB_South_9</t>
  </si>
  <si>
    <t>17.15.096</t>
  </si>
  <si>
    <t>BF87FA9</t>
  </si>
  <si>
    <t>63.25.501</t>
  </si>
  <si>
    <t>No DNA taken, shark released early due to concerns about health</t>
  </si>
  <si>
    <t>15:54:00</t>
  </si>
  <si>
    <t>17.16.471</t>
  </si>
  <si>
    <t>63.16.721</t>
  </si>
  <si>
    <t>2_SB_South_2</t>
  </si>
  <si>
    <t>1_SB_South_10</t>
  </si>
  <si>
    <t>17.15.207</t>
  </si>
  <si>
    <t>63.25.394</t>
  </si>
  <si>
    <t>BF87FD4</t>
  </si>
  <si>
    <t>17.16.666</t>
  </si>
  <si>
    <t>63.17.143</t>
  </si>
  <si>
    <t>2_SB_South_3</t>
  </si>
  <si>
    <t>BF87FD1</t>
  </si>
  <si>
    <t>06:00:00</t>
  </si>
  <si>
    <t>17:00:00</t>
  </si>
  <si>
    <t>BT/BH</t>
  </si>
  <si>
    <t>Shark 23 and Shark 27</t>
  </si>
  <si>
    <t>BF87FD2</t>
  </si>
  <si>
    <t>06:10:00</t>
  </si>
  <si>
    <t>Queen of Saba</t>
  </si>
  <si>
    <t>13:58:00</t>
  </si>
  <si>
    <t>BM/BT/BM</t>
  </si>
  <si>
    <t>Shark 28 and shark 32</t>
  </si>
  <si>
    <t>BF87FC8</t>
  </si>
  <si>
    <t>16u1492/164938</t>
  </si>
  <si>
    <t>A lot of parasites on skin</t>
  </si>
  <si>
    <t>06:19:00</t>
  </si>
  <si>
    <t>11:43:00</t>
  </si>
  <si>
    <t>BF87FA1</t>
  </si>
  <si>
    <t>Shark 29 and Shark 31</t>
  </si>
  <si>
    <t>released due to health concerns</t>
  </si>
  <si>
    <t>2_SB_South_4</t>
  </si>
  <si>
    <t>17.16.624</t>
  </si>
  <si>
    <t>63.16.965</t>
  </si>
  <si>
    <t>06:21:00</t>
  </si>
  <si>
    <t>17:07:00</t>
  </si>
  <si>
    <t>Released due to lack of time</t>
  </si>
  <si>
    <t>Sat3</t>
  </si>
  <si>
    <t>17.16.397</t>
  </si>
  <si>
    <t>63.16.435</t>
  </si>
  <si>
    <t>2_SB_South_9</t>
  </si>
  <si>
    <t>BF87FDE</t>
  </si>
  <si>
    <t>16u1497/164940</t>
  </si>
  <si>
    <t>06:25:00</t>
  </si>
  <si>
    <t xml:space="preserve">Cut on pre caudal </t>
  </si>
  <si>
    <t>17:11:00</t>
  </si>
  <si>
    <t>Shark 24 and Shark 30</t>
  </si>
  <si>
    <t>Sat4</t>
  </si>
  <si>
    <t>17.16.895</t>
  </si>
  <si>
    <t>63.16.204</t>
  </si>
  <si>
    <t>2_SB_South_10</t>
  </si>
  <si>
    <t>BF87FA8</t>
  </si>
  <si>
    <t>16u1494/164939</t>
  </si>
  <si>
    <t>Probably pregnant</t>
  </si>
  <si>
    <t>06:26:00</t>
  </si>
  <si>
    <t>17.26.087</t>
  </si>
  <si>
    <t>63.12.510</t>
  </si>
  <si>
    <t>Shark 25</t>
  </si>
  <si>
    <t>3_SB_East_8</t>
  </si>
  <si>
    <t>BF87F80</t>
  </si>
  <si>
    <t>17.26.461</t>
  </si>
  <si>
    <t>63.12.743</t>
  </si>
  <si>
    <t>06:31:00</t>
  </si>
  <si>
    <t>3_SB_East_10</t>
  </si>
  <si>
    <t>BF87F9C</t>
  </si>
  <si>
    <t>13:26:00</t>
  </si>
  <si>
    <t>SBM/BH/BM</t>
  </si>
  <si>
    <t>Shark 26 and Shark 33</t>
  </si>
  <si>
    <t>Sat5</t>
  </si>
  <si>
    <t>17.30.103</t>
  </si>
  <si>
    <t>63.13.539</t>
  </si>
  <si>
    <t>4_SB_PosionBank_6</t>
  </si>
  <si>
    <t>2_SB_South_8</t>
  </si>
  <si>
    <t>BF87F87</t>
  </si>
  <si>
    <t>17.16.683</t>
  </si>
  <si>
    <t>63.16.381</t>
  </si>
  <si>
    <t>16u1464/164937</t>
  </si>
  <si>
    <t>06:37:00</t>
  </si>
  <si>
    <t>SBT</t>
  </si>
  <si>
    <t>17.29.881</t>
  </si>
  <si>
    <t>At 11:00 am bouy can not be found, equipment is lost</t>
  </si>
  <si>
    <t>63.13.606</t>
  </si>
  <si>
    <t>4_SB_PosionBank_7</t>
  </si>
  <si>
    <t>Reef Shark Head</t>
  </si>
  <si>
    <t>BF87FD3</t>
  </si>
  <si>
    <t>Released due to lack of daylight for full workup</t>
  </si>
  <si>
    <t>06:40:00</t>
  </si>
  <si>
    <t>17.32.685</t>
  </si>
  <si>
    <t>63.16.558</t>
  </si>
  <si>
    <t>5_SB_NorthEast_8</t>
  </si>
  <si>
    <t>14:15:00</t>
  </si>
  <si>
    <t>Shark 34</t>
  </si>
  <si>
    <t>BF87F82</t>
  </si>
  <si>
    <t>17.33.511</t>
  </si>
  <si>
    <t>63.17.098</t>
  </si>
  <si>
    <t>5_SB_NorthEast_11</t>
  </si>
  <si>
    <t>17.29.660</t>
  </si>
  <si>
    <t>63.13.524</t>
  </si>
  <si>
    <t>4_SB_PoisionBank_12</t>
  </si>
  <si>
    <t>BM+BAM</t>
  </si>
  <si>
    <t>No pit tag due to it tag complications during placement</t>
  </si>
  <si>
    <t>17.30.654</t>
  </si>
  <si>
    <t>63.13.789</t>
  </si>
  <si>
    <t>4_SB_PoisionBank_18</t>
  </si>
  <si>
    <t>BT+BH</t>
  </si>
  <si>
    <t>Shark broke the line, no measurements done</t>
  </si>
  <si>
    <t>Liselot</t>
  </si>
  <si>
    <t>18.00.726</t>
  </si>
  <si>
    <t>63.05.734</t>
  </si>
  <si>
    <t xml:space="preserve">BM </t>
  </si>
  <si>
    <t>BF87FB8</t>
  </si>
  <si>
    <t>Vroege vogels</t>
  </si>
  <si>
    <t>August</t>
  </si>
  <si>
    <t>North of 12 Monkeys</t>
  </si>
  <si>
    <t>17.47465</t>
  </si>
  <si>
    <t>-63.22635</t>
  </si>
  <si>
    <t>001</t>
  </si>
  <si>
    <t>CR01T</t>
  </si>
  <si>
    <t>Healthy, swam off quickly.</t>
  </si>
  <si>
    <t>17.45745</t>
  </si>
  <si>
    <t>-63.21452</t>
  </si>
  <si>
    <t>ID5822</t>
  </si>
  <si>
    <t>SS01T</t>
  </si>
  <si>
    <t>Healthy, swam off quickly; no blood sample.</t>
  </si>
  <si>
    <t>06:47:00</t>
  </si>
  <si>
    <t>17.49243</t>
  </si>
  <si>
    <t>-63.22805</t>
  </si>
  <si>
    <t>15:38:00</t>
  </si>
  <si>
    <t>002</t>
  </si>
  <si>
    <t>Shark 35</t>
  </si>
  <si>
    <t>CR02T</t>
  </si>
  <si>
    <t>3_SB_East_1</t>
  </si>
  <si>
    <t>17.24.830</t>
  </si>
  <si>
    <t>63.11.992</t>
  </si>
  <si>
    <t>17.40537</t>
  </si>
  <si>
    <t>-63.19577</t>
  </si>
  <si>
    <t>06:13:00</t>
  </si>
  <si>
    <t>SBM/BM</t>
  </si>
  <si>
    <t>003</t>
  </si>
  <si>
    <t>CR03T</t>
  </si>
  <si>
    <t>Swam off slowly.</t>
  </si>
  <si>
    <t>3_SB_east_2</t>
  </si>
  <si>
    <t>Poison Bank south</t>
  </si>
  <si>
    <t>17.46843</t>
  </si>
  <si>
    <t>17.24.989</t>
  </si>
  <si>
    <t>-63.22145</t>
  </si>
  <si>
    <t>63.12.064</t>
  </si>
  <si>
    <t>06:16:00</t>
  </si>
  <si>
    <t>11:46:00</t>
  </si>
  <si>
    <t>004</t>
  </si>
  <si>
    <t>CR4T</t>
  </si>
  <si>
    <t>Blood sample: CR4B</t>
  </si>
  <si>
    <t>3_SB_East_3</t>
  </si>
  <si>
    <t>17.25.144</t>
  </si>
  <si>
    <t>63.12.152</t>
  </si>
  <si>
    <t>0589; Poison Bank south</t>
  </si>
  <si>
    <t>06:20:00</t>
  </si>
  <si>
    <t>005</t>
  </si>
  <si>
    <t>CR5T</t>
  </si>
  <si>
    <t>Guido bitten, Blood Sample: CR5B</t>
  </si>
  <si>
    <t>11:50:00</t>
  </si>
  <si>
    <t>17.50175</t>
  </si>
  <si>
    <t>-63.19663</t>
  </si>
  <si>
    <t>ID5823</t>
  </si>
  <si>
    <t>SS02T</t>
  </si>
  <si>
    <t>Blood sample: SS02B</t>
  </si>
  <si>
    <t>ID5824</t>
  </si>
  <si>
    <t>SS03T</t>
  </si>
  <si>
    <t>Swallowd hook, possibly gill; Swam off slowly, Blood Sample SS03B</t>
  </si>
  <si>
    <t>ID5825</t>
  </si>
  <si>
    <t>SS04T</t>
  </si>
  <si>
    <t>Swam off slowly, Blood Sample: SS04B</t>
  </si>
  <si>
    <t>17.50027</t>
  </si>
  <si>
    <t>-63.21837</t>
  </si>
  <si>
    <t>ID5826</t>
  </si>
  <si>
    <t>SS05T</t>
  </si>
  <si>
    <t>Difficulties swimming away (extra 2 min); Bleeding a lot, swallowed hook.</t>
  </si>
  <si>
    <t>17.48833</t>
  </si>
  <si>
    <t>-63.22525</t>
  </si>
  <si>
    <t>ID9100</t>
  </si>
  <si>
    <t>SS06T</t>
  </si>
  <si>
    <t>Blood sample: SS06B</t>
  </si>
  <si>
    <t>17.49387</t>
  </si>
  <si>
    <t>-63.22522</t>
  </si>
  <si>
    <t>006</t>
  </si>
  <si>
    <t>CR06T</t>
  </si>
  <si>
    <t>17.49272</t>
  </si>
  <si>
    <t>-63.22372</t>
  </si>
  <si>
    <t>ID9101</t>
  </si>
  <si>
    <t>SS07T</t>
  </si>
  <si>
    <t>Blood sample: SS07B</t>
  </si>
  <si>
    <t>591</t>
  </si>
  <si>
    <t>17.48512</t>
  </si>
  <si>
    <t>-63.22350</t>
  </si>
  <si>
    <t>ID9102</t>
  </si>
  <si>
    <t>SS08T</t>
  </si>
  <si>
    <t>Fastest catch.</t>
  </si>
  <si>
    <t>592</t>
  </si>
  <si>
    <t>17.48507</t>
  </si>
  <si>
    <t>-63.22377</t>
  </si>
  <si>
    <t>ID9103</t>
  </si>
  <si>
    <t>SS09T</t>
  </si>
  <si>
    <t>Cut on underside of the left pectoral fin. Blood sample: SS09B</t>
  </si>
  <si>
    <t>17.48573</t>
  </si>
  <si>
    <t>-63.22400</t>
  </si>
  <si>
    <t>ID9104</t>
  </si>
  <si>
    <t>SS10T</t>
  </si>
  <si>
    <t>Dorsal fin folded</t>
  </si>
  <si>
    <t>17.46983</t>
  </si>
  <si>
    <t>-63.21805</t>
  </si>
  <si>
    <t>ID9109</t>
  </si>
  <si>
    <t>Swallowed hook. Blood sample: SS11B</t>
  </si>
  <si>
    <t>17.46888</t>
  </si>
  <si>
    <t>-63.21780</t>
  </si>
  <si>
    <t>NU</t>
  </si>
  <si>
    <t>ID9105</t>
  </si>
  <si>
    <t>Blood sample: SS12B</t>
  </si>
  <si>
    <t>593</t>
  </si>
  <si>
    <t>17.45972</t>
  </si>
  <si>
    <t>-63.21325</t>
  </si>
  <si>
    <t>ID9106</t>
  </si>
  <si>
    <t>SS13T</t>
  </si>
  <si>
    <t>Hooked on lower lobe of caudal fin; swam off fast. Blood sample: SS3B</t>
  </si>
  <si>
    <t>17.48797</t>
  </si>
  <si>
    <t>-63.22745</t>
  </si>
  <si>
    <t>SS14T</t>
  </si>
  <si>
    <t>Swallowed hook. Blood sample: SS14B</t>
  </si>
  <si>
    <t>595</t>
  </si>
  <si>
    <t>17.48728</t>
  </si>
  <si>
    <t>-63.22752</t>
  </si>
  <si>
    <t>ID9108</t>
  </si>
  <si>
    <t>3_SB_East_4</t>
  </si>
  <si>
    <t>SS15T</t>
  </si>
  <si>
    <t>Swam off quick. Blood SS15B</t>
  </si>
  <si>
    <t>596</t>
  </si>
  <si>
    <t>17.48793</t>
  </si>
  <si>
    <t>17.25.331</t>
  </si>
  <si>
    <t>-63.22750</t>
  </si>
  <si>
    <t>008</t>
  </si>
  <si>
    <t>Swallowed hook.</t>
  </si>
  <si>
    <t>Preggo</t>
  </si>
  <si>
    <t>63.12.210</t>
  </si>
  <si>
    <t>17.55810</t>
  </si>
  <si>
    <t>-63.28952</t>
  </si>
  <si>
    <t>11:54:00</t>
  </si>
  <si>
    <t>No dorsalfin, clean cut, completely healed</t>
  </si>
  <si>
    <t>17.55555</t>
  </si>
  <si>
    <t>-63.28767</t>
  </si>
  <si>
    <t>17.55460</t>
  </si>
  <si>
    <t>-63.28260</t>
  </si>
  <si>
    <t>003D35C4BE</t>
  </si>
  <si>
    <t>CSC00047</t>
  </si>
  <si>
    <t>3_SB_East_5</t>
  </si>
  <si>
    <t>17.55125</t>
  </si>
  <si>
    <t>-63.28108</t>
  </si>
  <si>
    <t>17.25.522</t>
  </si>
  <si>
    <t>63.12.313</t>
  </si>
  <si>
    <t>06:30:00</t>
  </si>
  <si>
    <t>11:58:00</t>
  </si>
  <si>
    <t>3_SB_East_6</t>
  </si>
  <si>
    <t>17.25.707</t>
  </si>
  <si>
    <t>63.12.406</t>
  </si>
  <si>
    <t>06:34:00</t>
  </si>
  <si>
    <t>12:04:00</t>
  </si>
  <si>
    <t>3_SB_East_7</t>
  </si>
  <si>
    <t>17.25.895</t>
  </si>
  <si>
    <t>06:39:00</t>
  </si>
  <si>
    <t>003D35C4B2</t>
  </si>
  <si>
    <t>CSC00035</t>
  </si>
  <si>
    <t>12:11:00</t>
  </si>
  <si>
    <t>06:44:00</t>
  </si>
  <si>
    <t>12:14:00</t>
  </si>
  <si>
    <t>Shark 36</t>
  </si>
  <si>
    <t>003D35C48A</t>
  </si>
  <si>
    <t>CSC00046</t>
  </si>
  <si>
    <t>3_SB_East_9</t>
  </si>
  <si>
    <t>17.26.282</t>
  </si>
  <si>
    <t>63.12.616</t>
  </si>
  <si>
    <t>06:48:00</t>
  </si>
  <si>
    <t>12:18:00</t>
  </si>
  <si>
    <t>SBT/SBM</t>
  </si>
  <si>
    <t>06:53:00</t>
  </si>
  <si>
    <t>Shark dead, probably bitten by tigershark</t>
  </si>
  <si>
    <t>Released because it was not doing well</t>
  </si>
  <si>
    <t>Bleeding from gills</t>
  </si>
  <si>
    <t>17.56495</t>
  </si>
  <si>
    <t>-63.30077</t>
  </si>
  <si>
    <t>003D35C4CD</t>
  </si>
  <si>
    <t>CSC00034</t>
  </si>
  <si>
    <t>X1</t>
  </si>
  <si>
    <t>Pregnant, blood vial 30</t>
  </si>
  <si>
    <t>17.56188</t>
  </si>
  <si>
    <t>-63.29537</t>
  </si>
  <si>
    <t>17.56047</t>
  </si>
  <si>
    <t>-63.29317</t>
  </si>
  <si>
    <t>Dead, bitten by tigershark</t>
  </si>
  <si>
    <t>Bit the Caribbean Reef Shark, but got loose and spat out the CRS (above)</t>
  </si>
  <si>
    <t>Chloé Brigitte</t>
  </si>
  <si>
    <t>003D35C4CC</t>
  </si>
  <si>
    <t>21U0695</t>
  </si>
  <si>
    <t>X2</t>
  </si>
  <si>
    <t>Not pregnant</t>
  </si>
  <si>
    <t>12:22:00</t>
  </si>
  <si>
    <t>Shark 37</t>
  </si>
  <si>
    <t>4_SB_PosionBank_1</t>
  </si>
  <si>
    <t>17.30.533</t>
  </si>
  <si>
    <t>17.56518</t>
  </si>
  <si>
    <t>-63.30220</t>
  </si>
  <si>
    <t>17.55958</t>
  </si>
  <si>
    <t>-63.29163</t>
  </si>
  <si>
    <t>003D35C488</t>
  </si>
  <si>
    <t>21U0696</t>
  </si>
  <si>
    <t>17.55872</t>
  </si>
  <si>
    <t>-63.29037</t>
  </si>
  <si>
    <t>003D35C4A2</t>
  </si>
  <si>
    <t>21U0692</t>
  </si>
  <si>
    <t>X3</t>
  </si>
  <si>
    <t>Blood vial 31</t>
  </si>
  <si>
    <t>003D35C49B</t>
  </si>
  <si>
    <t>CSC00834</t>
  </si>
  <si>
    <t>003D35C4B6</t>
  </si>
  <si>
    <t>003D35C481</t>
  </si>
  <si>
    <t>CSC00841</t>
  </si>
  <si>
    <t>003D35C480</t>
  </si>
  <si>
    <t>CSC00040</t>
  </si>
  <si>
    <t>17.49800</t>
  </si>
  <si>
    <t>-63.24192</t>
  </si>
  <si>
    <t>Shark broke loose</t>
  </si>
  <si>
    <t>17.49923</t>
  </si>
  <si>
    <t>-63.24215</t>
  </si>
  <si>
    <t>003D35C4D4</t>
  </si>
  <si>
    <t>CSC00850</t>
  </si>
  <si>
    <t>Shark bitten</t>
  </si>
  <si>
    <t>Shark released leader unravelled</t>
  </si>
  <si>
    <t>17.49170</t>
  </si>
  <si>
    <t>-63.23793</t>
  </si>
  <si>
    <t>17.49093</t>
  </si>
  <si>
    <t>-63.23582</t>
  </si>
  <si>
    <t>17.48965</t>
  </si>
  <si>
    <t>-63.23408</t>
  </si>
  <si>
    <t>003D35C490</t>
  </si>
  <si>
    <t>CSC00050</t>
  </si>
  <si>
    <t>17.49633</t>
  </si>
  <si>
    <t>-63.24075</t>
  </si>
  <si>
    <t>003D35C482</t>
  </si>
  <si>
    <t>CSC00038</t>
  </si>
  <si>
    <t>Blood vial 32</t>
  </si>
  <si>
    <t>003D35C4B9</t>
  </si>
  <si>
    <t>CSC00030</t>
  </si>
  <si>
    <t>003D35C4CA</t>
  </si>
  <si>
    <t>21U0691</t>
  </si>
  <si>
    <t>X4</t>
  </si>
  <si>
    <t>Not pregnant?</t>
  </si>
  <si>
    <t>17.49540</t>
  </si>
  <si>
    <t>-63.23955</t>
  </si>
  <si>
    <t>Shark released; not doing well</t>
  </si>
  <si>
    <t>17.55097</t>
  </si>
  <si>
    <t>-63.28180</t>
  </si>
  <si>
    <t>003D35C49F</t>
  </si>
  <si>
    <t>CSC00041</t>
  </si>
  <si>
    <t>17.54517</t>
  </si>
  <si>
    <t>-63.27793</t>
  </si>
  <si>
    <t>003D35C4C0</t>
  </si>
  <si>
    <t>CSC00042</t>
  </si>
  <si>
    <t>17.54793</t>
  </si>
  <si>
    <t>-63.27958</t>
  </si>
  <si>
    <t>Double hooked, so released</t>
  </si>
  <si>
    <t>Hook line broke, shark got away</t>
  </si>
  <si>
    <t>17.50230</t>
  </si>
  <si>
    <t>-63.24303</t>
  </si>
  <si>
    <t>003D35C4A1</t>
  </si>
  <si>
    <t>CSC00027</t>
  </si>
  <si>
    <t>17.50075</t>
  </si>
  <si>
    <t>-63.24253</t>
  </si>
  <si>
    <t>17.49282</t>
  </si>
  <si>
    <t>-62.23970</t>
  </si>
  <si>
    <t>Got loose, tail missed a piece (bitten?)</t>
  </si>
  <si>
    <t>Dead, Tiger shark ate it and spat it out</t>
  </si>
  <si>
    <t>17.49092</t>
  </si>
  <si>
    <t>-62.23923</t>
  </si>
  <si>
    <t>Roosje</t>
  </si>
  <si>
    <t>CSC00045</t>
  </si>
  <si>
    <t>X5</t>
  </si>
  <si>
    <t>Pumping blood, not pregnant</t>
  </si>
  <si>
    <t>17.48920</t>
  </si>
  <si>
    <t>-62.23900</t>
  </si>
  <si>
    <t>63.13.926</t>
  </si>
  <si>
    <t>17.49860</t>
  </si>
  <si>
    <t>-62.24165</t>
  </si>
  <si>
    <t>17.49457</t>
  </si>
  <si>
    <t>-62.24048</t>
  </si>
  <si>
    <t>Gave birth</t>
  </si>
  <si>
    <t>4_SB_PosionBank_2</t>
  </si>
  <si>
    <t>17.30.658</t>
  </si>
  <si>
    <t>63.13.820</t>
  </si>
  <si>
    <t>Hole in shark</t>
  </si>
  <si>
    <t>16:05:00</t>
  </si>
  <si>
    <t>17.49682</t>
  </si>
  <si>
    <t>-62.24128</t>
  </si>
  <si>
    <t>4_SB_PosionBank_3</t>
  </si>
  <si>
    <t>17.30.608</t>
  </si>
  <si>
    <t>63.13.650</t>
  </si>
  <si>
    <t>21U0694</t>
  </si>
  <si>
    <t>X6</t>
  </si>
  <si>
    <t>Missing part of caudal fin, blood vial 33</t>
  </si>
  <si>
    <t>16:09:00</t>
  </si>
  <si>
    <t>4_SB_PosionBank_4</t>
  </si>
  <si>
    <t>17.30.557</t>
  </si>
  <si>
    <t>63.13.457</t>
  </si>
  <si>
    <t>10:59:00</t>
  </si>
  <si>
    <t>16:13:00</t>
  </si>
  <si>
    <t>4_SB_PosionBank_5</t>
  </si>
  <si>
    <t>17.30.347</t>
  </si>
  <si>
    <t>63.13.470</t>
  </si>
  <si>
    <t>11:04:00</t>
  </si>
  <si>
    <t>13:58:00 PM</t>
  </si>
  <si>
    <t>16:16:00</t>
  </si>
  <si>
    <t>Eiko</t>
  </si>
  <si>
    <t>Rod-hook</t>
  </si>
  <si>
    <t>shpo</t>
  </si>
  <si>
    <t>17.50147</t>
  </si>
  <si>
    <t>11:10:00</t>
  </si>
  <si>
    <t>-63.22858</t>
  </si>
  <si>
    <t>Shark 38</t>
  </si>
  <si>
    <t>NL243</t>
  </si>
  <si>
    <t>Suzy-Q</t>
  </si>
  <si>
    <t>BM/Reef shark head</t>
  </si>
  <si>
    <t>Shark 39</t>
  </si>
  <si>
    <t>4_SB_PosionBank_8</t>
  </si>
  <si>
    <t>17.29.648</t>
  </si>
  <si>
    <t>63.13.582</t>
  </si>
  <si>
    <t>11:22:00</t>
  </si>
  <si>
    <t>4_SB_PosionBank_9</t>
  </si>
  <si>
    <t>17.29.498</t>
  </si>
  <si>
    <t>63.13.672</t>
  </si>
  <si>
    <t>18:03:00</t>
  </si>
  <si>
    <t>NL325</t>
  </si>
  <si>
    <t>4_SB_PosionBank_10</t>
  </si>
  <si>
    <t>17.29.324</t>
  </si>
  <si>
    <t>63.13.746</t>
  </si>
  <si>
    <t>11:36:00</t>
  </si>
  <si>
    <t>18:06:00</t>
  </si>
  <si>
    <t>5_SB_NorthEast_1</t>
  </si>
  <si>
    <t>Lil'Joop</t>
  </si>
  <si>
    <t>17.33.518</t>
  </si>
  <si>
    <t>63.17.118</t>
  </si>
  <si>
    <t>NL343</t>
  </si>
  <si>
    <t>06:22:00</t>
  </si>
  <si>
    <t>NL342</t>
  </si>
  <si>
    <t>15:48:00</t>
  </si>
  <si>
    <t>BM/SBH</t>
  </si>
  <si>
    <t>5_SB_NorthEast_2</t>
  </si>
  <si>
    <t>Maria</t>
  </si>
  <si>
    <t>17.33.457</t>
  </si>
  <si>
    <t>17.50960</t>
  </si>
  <si>
    <t>63.17.021</t>
  </si>
  <si>
    <t>-63.18702</t>
  </si>
  <si>
    <t>06:24:00</t>
  </si>
  <si>
    <t>NL326</t>
  </si>
  <si>
    <t>5_SB_NorthEast_3</t>
  </si>
  <si>
    <t>17.33.340</t>
  </si>
  <si>
    <t>63.16.918</t>
  </si>
  <si>
    <t>Walter</t>
  </si>
  <si>
    <t>06:33:00</t>
  </si>
  <si>
    <t>BM/SBM</t>
  </si>
  <si>
    <t>00876</t>
  </si>
  <si>
    <t>5_SB_NorthEast_4</t>
  </si>
  <si>
    <t>17.33,229</t>
  </si>
  <si>
    <t>63.16.854</t>
  </si>
  <si>
    <t>Pip</t>
  </si>
  <si>
    <t>06:38:00</t>
  </si>
  <si>
    <t>5_SB_NorthEast_5</t>
  </si>
  <si>
    <t>17.33.102</t>
  </si>
  <si>
    <t>00893</t>
  </si>
  <si>
    <t>63.16.792</t>
  </si>
  <si>
    <t>Vanessa</t>
  </si>
  <si>
    <t>00883</t>
  </si>
  <si>
    <t>Nonna Francesca</t>
  </si>
  <si>
    <t>NL301</t>
  </si>
  <si>
    <t>06:42:00</t>
  </si>
  <si>
    <t>BT/SBM</t>
  </si>
  <si>
    <t>Madi</t>
  </si>
  <si>
    <t>Shark_Shoals</t>
  </si>
  <si>
    <t>5_SB_NorthEast_6</t>
  </si>
  <si>
    <t>Saba_Marine_Park</t>
  </si>
  <si>
    <t>17.32.950</t>
  </si>
  <si>
    <t>63.16.702</t>
  </si>
  <si>
    <t>00899</t>
  </si>
  <si>
    <t>15:30:00</t>
  </si>
  <si>
    <t>Annebelle</t>
  </si>
  <si>
    <t>5_SB_NorthEast_7</t>
  </si>
  <si>
    <t>Outer_Limits</t>
  </si>
  <si>
    <t>17.32.795</t>
  </si>
  <si>
    <t>63.16.659</t>
  </si>
  <si>
    <t>06:51:00</t>
  </si>
  <si>
    <t>OB</t>
  </si>
  <si>
    <t>15:27:00</t>
  </si>
  <si>
    <t>BM/SBM/BH</t>
  </si>
  <si>
    <t>NL335</t>
  </si>
  <si>
    <t>Lissette</t>
  </si>
  <si>
    <t>06:56:00</t>
  </si>
  <si>
    <t>15:23:00</t>
  </si>
  <si>
    <t>Shark 40</t>
  </si>
  <si>
    <t>008886</t>
  </si>
  <si>
    <t>5_SB_NorthEast_9</t>
  </si>
  <si>
    <t>17.32.552</t>
  </si>
  <si>
    <t>63.16.458</t>
  </si>
  <si>
    <t>RTL</t>
  </si>
  <si>
    <t>07:00:00</t>
  </si>
  <si>
    <t>15:19:00</t>
  </si>
  <si>
    <t>BM/SBT</t>
  </si>
  <si>
    <t>17.99673</t>
  </si>
  <si>
    <t>-63.07693</t>
  </si>
  <si>
    <t>5_SB_NorthEast_10</t>
  </si>
  <si>
    <t>17.32.426</t>
  </si>
  <si>
    <t>63.16.384</t>
  </si>
  <si>
    <t>07:04:00</t>
  </si>
  <si>
    <t>15:14:00</t>
  </si>
  <si>
    <t>BH/SBH</t>
  </si>
  <si>
    <t>00154</t>
  </si>
  <si>
    <t>17.99542</t>
  </si>
  <si>
    <t>-63.07200</t>
  </si>
  <si>
    <t>Shark 41</t>
  </si>
  <si>
    <t>4_SB_PosionBank_11</t>
  </si>
  <si>
    <t>00176</t>
  </si>
  <si>
    <t>17.29.536</t>
  </si>
  <si>
    <t>63.13.653</t>
  </si>
  <si>
    <t>06:49:00</t>
  </si>
  <si>
    <t>BM+BAM/BM</t>
  </si>
  <si>
    <t>17.99557</t>
  </si>
  <si>
    <t>-63.07437</t>
  </si>
  <si>
    <t>BF</t>
  </si>
  <si>
    <t>06:54:00</t>
  </si>
  <si>
    <t>00173</t>
  </si>
  <si>
    <t>15:32:00</t>
  </si>
  <si>
    <t>Shark 42</t>
  </si>
  <si>
    <t>Recapture, old Floy tag = 00406</t>
  </si>
  <si>
    <t>4_SB_PosionBank_13</t>
  </si>
  <si>
    <t>17.29.952</t>
  </si>
  <si>
    <t>63.13.595</t>
  </si>
  <si>
    <t>17.99555</t>
  </si>
  <si>
    <t>-63.07560</t>
  </si>
  <si>
    <t>06:59:00</t>
  </si>
  <si>
    <t>BM+BAM/BT+BAM</t>
  </si>
  <si>
    <t>4_SB_PoisionBank_14</t>
  </si>
  <si>
    <t>17.30.155</t>
  </si>
  <si>
    <t>63.13.515</t>
  </si>
  <si>
    <t>07:03:00</t>
  </si>
  <si>
    <t>4_SB_PosionBank_15</t>
  </si>
  <si>
    <t>17.30.394</t>
  </si>
  <si>
    <t>63.13.445</t>
  </si>
  <si>
    <t>00401</t>
  </si>
  <si>
    <t>07:07:00</t>
  </si>
  <si>
    <t>BT+BAM/BH/BT</t>
  </si>
  <si>
    <t>17.99705</t>
  </si>
  <si>
    <t>4_SB_PoisionBank_16</t>
  </si>
  <si>
    <t>-63.07808</t>
  </si>
  <si>
    <t>17.30.525</t>
  </si>
  <si>
    <t>63.13.406</t>
  </si>
  <si>
    <t>07:11:00</t>
  </si>
  <si>
    <t>00190</t>
  </si>
  <si>
    <t>BM+BAM/BAM</t>
  </si>
  <si>
    <t>4_SB_PosionBank_17</t>
  </si>
  <si>
    <t>17.99657</t>
  </si>
  <si>
    <t>-63.08113</t>
  </si>
  <si>
    <t>17.30.629</t>
  </si>
  <si>
    <t>63.13.572</t>
  </si>
  <si>
    <t>07:15:00</t>
  </si>
  <si>
    <t>BM+BAM/BT+BAM/BH</t>
  </si>
  <si>
    <t>Lisa Feller</t>
  </si>
  <si>
    <t>17.99613</t>
  </si>
  <si>
    <t>07:21:00</t>
  </si>
  <si>
    <t>BM+BAH/BT+BH/BH</t>
  </si>
  <si>
    <t>Shark 43</t>
  </si>
  <si>
    <t>-63.07483</t>
  </si>
  <si>
    <t>00199</t>
  </si>
  <si>
    <t>4_SB_PosionBank_19</t>
  </si>
  <si>
    <t>17.30.746</t>
  </si>
  <si>
    <t>63.13.921</t>
  </si>
  <si>
    <t>07:27:00</t>
  </si>
  <si>
    <t>17.99515</t>
  </si>
  <si>
    <t>-63.06990</t>
  </si>
  <si>
    <t>NL347</t>
  </si>
  <si>
    <t>BM+BAM/BH+BAM/BM</t>
  </si>
  <si>
    <t>17.99648</t>
  </si>
  <si>
    <t>-63.07653</t>
  </si>
  <si>
    <t>4_SB_PoisionBank_20</t>
  </si>
  <si>
    <t>17.30.512</t>
  </si>
  <si>
    <t>63.14.049</t>
  </si>
  <si>
    <t>NL304</t>
  </si>
  <si>
    <t>07:33:00</t>
  </si>
  <si>
    <t>15:56:00</t>
  </si>
  <si>
    <t>BM+BAT/BM+BAT/BH</t>
  </si>
  <si>
    <t>YAG</t>
  </si>
  <si>
    <t>17.64597</t>
  </si>
  <si>
    <t>18.01.165</t>
  </si>
  <si>
    <t>-63.25702</t>
  </si>
  <si>
    <t>ladder_bay</t>
  </si>
  <si>
    <t>YS</t>
  </si>
  <si>
    <t>NL287</t>
  </si>
  <si>
    <t>Genetic sample Erwin SG07; blood from cloaca;</t>
  </si>
  <si>
    <t>17.55932</t>
  </si>
  <si>
    <t>-63.29205</t>
  </si>
  <si>
    <t>18.5</t>
  </si>
  <si>
    <t>00803</t>
  </si>
  <si>
    <t>Genetic sample Erwin = SG-8; Bite marks</t>
  </si>
  <si>
    <t>BAH</t>
  </si>
  <si>
    <t>88024</t>
  </si>
  <si>
    <t xml:space="preserve">Genetic sample Erwin SG-9; Adult </t>
  </si>
  <si>
    <t>17.55787</t>
  </si>
  <si>
    <t>-63.28933</t>
  </si>
  <si>
    <t>00816</t>
  </si>
  <si>
    <t>Genetic sample Erwin = SG-10</t>
  </si>
  <si>
    <t>Day1</t>
  </si>
  <si>
    <t>17.56483</t>
  </si>
  <si>
    <t>-63.30218</t>
  </si>
  <si>
    <t>BART</t>
  </si>
  <si>
    <t>63.06.621</t>
  </si>
  <si>
    <t>Shark escaped</t>
  </si>
  <si>
    <t>12:15:00</t>
  </si>
  <si>
    <t>16:55:00</t>
  </si>
  <si>
    <t>BAM</t>
  </si>
  <si>
    <t>00810</t>
  </si>
  <si>
    <t>Genetic sample Erwin = SG-12; Adult</t>
  </si>
  <si>
    <t>17.56360</t>
  </si>
  <si>
    <t>-63.29845</t>
  </si>
  <si>
    <t>00804</t>
  </si>
  <si>
    <t>Genetic sample Erwin = SG-11; Adult</t>
  </si>
  <si>
    <t>RBP</t>
  </si>
  <si>
    <t>18.01.184</t>
  </si>
  <si>
    <t>63.06.885</t>
  </si>
  <si>
    <t>00847</t>
  </si>
  <si>
    <t>Genetic sample Erwin = SG-13 and SG-41</t>
  </si>
  <si>
    <t>December</t>
  </si>
  <si>
    <t>17.55537</t>
  </si>
  <si>
    <t>-63.28230</t>
  </si>
  <si>
    <t>00884</t>
  </si>
  <si>
    <t>16:58:00</t>
  </si>
  <si>
    <t>17.55852</t>
  </si>
  <si>
    <t>-63.28428</t>
  </si>
  <si>
    <t>23.4</t>
  </si>
  <si>
    <t>AJ</t>
  </si>
  <si>
    <t>18.01.234</t>
  </si>
  <si>
    <t>63.07.014</t>
  </si>
  <si>
    <t>00881</t>
  </si>
  <si>
    <t>16:12:00</t>
  </si>
  <si>
    <t>Bite marks on chest</t>
  </si>
  <si>
    <t>Vero</t>
  </si>
  <si>
    <t>17.55472</t>
  </si>
  <si>
    <t>-63.28202</t>
  </si>
  <si>
    <t>20.3</t>
  </si>
  <si>
    <t>18.01.292</t>
  </si>
  <si>
    <t>63.07.172</t>
  </si>
  <si>
    <t>12:25:00</t>
  </si>
  <si>
    <t>16:15:00</t>
  </si>
  <si>
    <t>18.01.535</t>
  </si>
  <si>
    <t>63.07.296</t>
  </si>
  <si>
    <t>12:31:00</t>
  </si>
  <si>
    <t>00864</t>
  </si>
  <si>
    <t>14:50:00</t>
  </si>
  <si>
    <t>23U2168</t>
  </si>
  <si>
    <t xml:space="preserve">260597 PTT ID text fade away check ID number. When sharks are in system. </t>
  </si>
  <si>
    <t>17.55602</t>
  </si>
  <si>
    <t>-63.28257</t>
  </si>
  <si>
    <t>21.7</t>
  </si>
  <si>
    <t>18.01.656</t>
  </si>
  <si>
    <t>63.07.404</t>
  </si>
  <si>
    <t>RH</t>
  </si>
  <si>
    <t>12:35:00</t>
  </si>
  <si>
    <t>00808</t>
  </si>
  <si>
    <t>14:52:00</t>
  </si>
  <si>
    <t>17.55745</t>
  </si>
  <si>
    <t>-63.28355</t>
  </si>
  <si>
    <t>21.8</t>
  </si>
  <si>
    <t>63.06.518</t>
  </si>
  <si>
    <t>15:02:00</t>
  </si>
  <si>
    <t>00885</t>
  </si>
  <si>
    <t>16:24:00</t>
  </si>
  <si>
    <t>17.55970</t>
  </si>
  <si>
    <t>-63.28560</t>
  </si>
  <si>
    <t>25.7</t>
  </si>
  <si>
    <t>18.00.994</t>
  </si>
  <si>
    <t>63.06.406</t>
  </si>
  <si>
    <t>00846</t>
  </si>
  <si>
    <t>16:27:00</t>
  </si>
  <si>
    <t>07:09:00</t>
  </si>
  <si>
    <t>00848</t>
  </si>
  <si>
    <t>BT/BM/BM</t>
  </si>
  <si>
    <t>Shark 44</t>
  </si>
  <si>
    <t>18.00.819</t>
  </si>
  <si>
    <t>63.05.984</t>
  </si>
  <si>
    <t>07:13:00</t>
  </si>
  <si>
    <t>23U3903</t>
  </si>
  <si>
    <t>18.00.918</t>
  </si>
  <si>
    <t>63.06.236</t>
  </si>
  <si>
    <t>18.01.010</t>
  </si>
  <si>
    <t>63.06.504</t>
  </si>
  <si>
    <t>07:19:00</t>
  </si>
  <si>
    <t>12:20:00</t>
  </si>
  <si>
    <t>17.56020</t>
  </si>
  <si>
    <t>-63.28630</t>
  </si>
  <si>
    <t>29.9</t>
  </si>
  <si>
    <t>18.01.042</t>
  </si>
  <si>
    <t>63.06.798</t>
  </si>
  <si>
    <t>07:24:00</t>
  </si>
  <si>
    <t>00807</t>
  </si>
  <si>
    <t>23U2180</t>
  </si>
  <si>
    <t>BM/BAM</t>
  </si>
  <si>
    <t>Island girl</t>
  </si>
  <si>
    <t>The Gregory</t>
  </si>
  <si>
    <t>18.02.319</t>
  </si>
  <si>
    <t>63.08.285</t>
  </si>
  <si>
    <t>07:35:00</t>
  </si>
  <si>
    <t>CO_live</t>
  </si>
  <si>
    <t>BT/BM/BAT</t>
  </si>
  <si>
    <t>00842</t>
  </si>
  <si>
    <t>23U2169</t>
  </si>
  <si>
    <t>Mating scars; upper tail lobe missing</t>
  </si>
  <si>
    <t>18.02.418</t>
  </si>
  <si>
    <t>63.08.484</t>
  </si>
  <si>
    <t>07:40:00</t>
  </si>
  <si>
    <t>NSH</t>
  </si>
  <si>
    <t>12:38:00</t>
  </si>
  <si>
    <t>BM/BH/BAM</t>
  </si>
  <si>
    <t>18.02.569</t>
  </si>
  <si>
    <t>63.08.638</t>
  </si>
  <si>
    <t>07:43:00</t>
  </si>
  <si>
    <t>12:42:00</t>
  </si>
  <si>
    <t>BM/BM/BAM</t>
  </si>
  <si>
    <t>00828</t>
  </si>
  <si>
    <t>23U2135</t>
  </si>
  <si>
    <t>Fuh Sheng</t>
  </si>
  <si>
    <t>Fresh scratch on the side; claspers fully calcified</t>
  </si>
  <si>
    <t>18.02.541</t>
  </si>
  <si>
    <t>63.08.842</t>
  </si>
  <si>
    <t>07:45:00</t>
  </si>
  <si>
    <t>Scarface</t>
  </si>
  <si>
    <t>12:47:00</t>
  </si>
  <si>
    <t>NSM</t>
  </si>
  <si>
    <t>Long Bay</t>
  </si>
  <si>
    <t>00879</t>
  </si>
  <si>
    <t>18.02.681</t>
  </si>
  <si>
    <t>63.08.702</t>
  </si>
  <si>
    <t xml:space="preserve">Big scar above eye; No label on sat tag. </t>
  </si>
  <si>
    <t>07:48:00</t>
  </si>
  <si>
    <t>12:52:00</t>
  </si>
  <si>
    <t>BM/BM/BT</t>
  </si>
  <si>
    <t>17°33.897</t>
  </si>
  <si>
    <t>63°18.046</t>
  </si>
  <si>
    <t>07:38:00</t>
  </si>
  <si>
    <t>09:04:00</t>
  </si>
  <si>
    <t>we only had 1 hook per DrumLine unless stated otherwise</t>
  </si>
  <si>
    <t>12:09:00</t>
  </si>
  <si>
    <t>13:49:00</t>
  </si>
  <si>
    <t>S10</t>
  </si>
  <si>
    <t>15:26:00</t>
  </si>
  <si>
    <t>17°33.825</t>
  </si>
  <si>
    <t>63°17.912</t>
  </si>
  <si>
    <t>07:42:00</t>
  </si>
  <si>
    <t>10:39:00</t>
  </si>
  <si>
    <t>12:12:00</t>
  </si>
  <si>
    <t>14:21:00</t>
  </si>
  <si>
    <t>line broke</t>
  </si>
  <si>
    <t>17°33.713</t>
  </si>
  <si>
    <t>63°17.722</t>
  </si>
  <si>
    <t>07:46:00</t>
  </si>
  <si>
    <t>09:11:00</t>
  </si>
  <si>
    <t>14:26:00</t>
  </si>
  <si>
    <t>S11</t>
  </si>
  <si>
    <t>S15</t>
  </si>
  <si>
    <t>17°33.628</t>
  </si>
  <si>
    <t>63°17.590</t>
  </si>
  <si>
    <t>07:49:00</t>
  </si>
  <si>
    <t>12:19:00</t>
  </si>
  <si>
    <t>14:31:00</t>
  </si>
  <si>
    <t>S12</t>
  </si>
  <si>
    <t>16:43:00</t>
  </si>
  <si>
    <t>17°33.486</t>
  </si>
  <si>
    <t>63°17.371</t>
  </si>
  <si>
    <t>07:54:00</t>
  </si>
  <si>
    <t>09:24:00</t>
  </si>
  <si>
    <t>S1</t>
  </si>
  <si>
    <t>S5</t>
  </si>
  <si>
    <t>14:39:00</t>
  </si>
  <si>
    <t>S13/S14</t>
  </si>
  <si>
    <t>16:46:00</t>
  </si>
  <si>
    <t>S16</t>
  </si>
  <si>
    <t>17°33.333</t>
  </si>
  <si>
    <t>63°17.260</t>
  </si>
  <si>
    <t>07:57:00</t>
  </si>
  <si>
    <t>09:31:00</t>
  </si>
  <si>
    <t>S2</t>
  </si>
  <si>
    <t>11:09:00</t>
  </si>
  <si>
    <t>S6</t>
  </si>
  <si>
    <t>Expedition duration (days)</t>
  </si>
  <si>
    <t>Catch:</t>
  </si>
  <si>
    <t>species</t>
  </si>
  <si>
    <t>total</t>
  </si>
  <si>
    <t>12:26:00</t>
  </si>
  <si>
    <t>S9</t>
  </si>
  <si>
    <t>14:46:00</t>
  </si>
  <si>
    <t>OT</t>
  </si>
  <si>
    <t>16:50:00</t>
  </si>
  <si>
    <t>17°33.276</t>
  </si>
  <si>
    <t>63°16.956</t>
  </si>
  <si>
    <t>08:01:00</t>
  </si>
  <si>
    <t xml:space="preserve">Total sets: </t>
  </si>
  <si>
    <t>09:40:00</t>
  </si>
  <si>
    <t>S3</t>
  </si>
  <si>
    <t>S7</t>
  </si>
  <si>
    <t>catch rate:</t>
  </si>
  <si>
    <t>12:34:00</t>
  </si>
  <si>
    <t>14:51:00</t>
  </si>
  <si>
    <t>excluding barracudas :)</t>
  </si>
  <si>
    <t>16:54:00</t>
  </si>
  <si>
    <t>17°33.075</t>
  </si>
  <si>
    <t xml:space="preserve">Science: </t>
  </si>
  <si>
    <t>63°16.865</t>
  </si>
  <si>
    <t>08:04:00</t>
  </si>
  <si>
    <t>09:49:00</t>
  </si>
  <si>
    <t>S4</t>
  </si>
  <si>
    <t>11:23:00</t>
  </si>
  <si>
    <t>S8</t>
  </si>
  <si>
    <t>12:40:00</t>
  </si>
  <si>
    <t>14:56:00</t>
  </si>
  <si>
    <t>UNK</t>
  </si>
  <si>
    <t>16:57:00</t>
  </si>
  <si>
    <t>17°33.911</t>
  </si>
  <si>
    <t>63°18.132</t>
  </si>
  <si>
    <t>07:50:00</t>
  </si>
  <si>
    <t>S17</t>
  </si>
  <si>
    <t>12:29:00</t>
  </si>
  <si>
    <t>S20</t>
  </si>
  <si>
    <t>14:38:00</t>
  </si>
  <si>
    <t>17°33.853</t>
  </si>
  <si>
    <t>63°18.030</t>
  </si>
  <si>
    <t>satellite</t>
  </si>
  <si>
    <t>17°33.854</t>
  </si>
  <si>
    <t>63°17.863</t>
  </si>
  <si>
    <t>07:55:00</t>
  </si>
  <si>
    <t>09:38:00</t>
  </si>
  <si>
    <t>12:55:00</t>
  </si>
  <si>
    <t>14:42:00</t>
  </si>
  <si>
    <t>17°33.777</t>
  </si>
  <si>
    <t>63°17.797</t>
  </si>
  <si>
    <t>bait bag</t>
  </si>
  <si>
    <t>12:57:00</t>
  </si>
  <si>
    <t>14:44:00</t>
  </si>
  <si>
    <t>17°33.702</t>
  </si>
  <si>
    <t>63°17.700</t>
  </si>
  <si>
    <t>08:03:00</t>
  </si>
  <si>
    <t>09:47:00</t>
  </si>
  <si>
    <t>12:59:00</t>
  </si>
  <si>
    <t>14:47:00</t>
  </si>
  <si>
    <t>measurements</t>
  </si>
  <si>
    <t>17°33.640</t>
  </si>
  <si>
    <t>63°17.592</t>
  </si>
  <si>
    <t>08:05:00</t>
  </si>
  <si>
    <t>13:01:00</t>
  </si>
  <si>
    <t xml:space="preserve">Shark S10 --&gt; pregnant but no satellite tag </t>
  </si>
  <si>
    <t>14:53:00</t>
  </si>
  <si>
    <t>OTH</t>
  </si>
  <si>
    <t>16:01:00</t>
  </si>
  <si>
    <t>17°33.575</t>
  </si>
  <si>
    <t>63°17.498</t>
  </si>
  <si>
    <t>08:07:00</t>
  </si>
  <si>
    <t>11:06:00</t>
  </si>
  <si>
    <t>S18</t>
  </si>
  <si>
    <t>13:05:00</t>
  </si>
  <si>
    <t>14:57:00</t>
  </si>
  <si>
    <t>S21</t>
  </si>
  <si>
    <t>17°33.523</t>
  </si>
  <si>
    <t>63°17.422</t>
  </si>
  <si>
    <t>08:09:00</t>
  </si>
  <si>
    <t>S19</t>
  </si>
  <si>
    <t>13:07:00</t>
  </si>
  <si>
    <t>15:11:00</t>
  </si>
  <si>
    <t>S22</t>
  </si>
  <si>
    <t>16:06:00</t>
  </si>
  <si>
    <t>S23</t>
  </si>
  <si>
    <t>17°29.954</t>
  </si>
  <si>
    <t>63°14.529</t>
  </si>
  <si>
    <t>08:19:00</t>
  </si>
  <si>
    <t>10:04:00</t>
  </si>
  <si>
    <t>S24</t>
  </si>
  <si>
    <t>11:31:00</t>
  </si>
  <si>
    <t>S30</t>
  </si>
  <si>
    <t>17°29.880</t>
  </si>
  <si>
    <t>63°14.515</t>
  </si>
  <si>
    <t>08:20:00</t>
  </si>
  <si>
    <t>S25</t>
  </si>
  <si>
    <t>10:21:00</t>
  </si>
  <si>
    <t>S26</t>
  </si>
  <si>
    <t>14:41:00</t>
  </si>
  <si>
    <t>S33</t>
  </si>
  <si>
    <t>17°29.780</t>
  </si>
  <si>
    <t>63°14.445</t>
  </si>
  <si>
    <t>08:23:00</t>
  </si>
  <si>
    <t>10:37:00</t>
  </si>
  <si>
    <t>11:39:00</t>
  </si>
  <si>
    <t>S31</t>
  </si>
  <si>
    <t>14:45:00</t>
  </si>
  <si>
    <t>S34</t>
  </si>
  <si>
    <t>17°29.724</t>
  </si>
  <si>
    <t>63°14.373</t>
  </si>
  <si>
    <t>08:25:00</t>
  </si>
  <si>
    <t>10:40:00</t>
  </si>
  <si>
    <t>S35</t>
  </si>
  <si>
    <t>17°29.614</t>
  </si>
  <si>
    <t>63°14.362</t>
  </si>
  <si>
    <t>08:27:00</t>
  </si>
  <si>
    <t>12:08:00</t>
  </si>
  <si>
    <t>17°29.502</t>
  </si>
  <si>
    <t>63°14.276</t>
  </si>
  <si>
    <t>08:29:00</t>
  </si>
  <si>
    <t>10:48:00</t>
  </si>
  <si>
    <t>S27</t>
  </si>
  <si>
    <t>17°29.456</t>
  </si>
  <si>
    <t>63°14.149</t>
  </si>
  <si>
    <t>08:30:00</t>
  </si>
  <si>
    <t>10:52:00</t>
  </si>
  <si>
    <t>S28</t>
  </si>
  <si>
    <t>16:10:00</t>
  </si>
  <si>
    <t>S36</t>
  </si>
  <si>
    <t>17°29.379</t>
  </si>
  <si>
    <t>63°14.045</t>
  </si>
  <si>
    <t>08:31:00</t>
  </si>
  <si>
    <t>S29</t>
  </si>
  <si>
    <t>S32</t>
  </si>
  <si>
    <t>S37</t>
  </si>
  <si>
    <t>17°33.411</t>
  </si>
  <si>
    <t>63°16.979</t>
  </si>
  <si>
    <t>12:46:00</t>
  </si>
  <si>
    <t>14:27:00</t>
  </si>
  <si>
    <t>17°33.316</t>
  </si>
  <si>
    <t>63°16.965</t>
  </si>
  <si>
    <t>12:48:00</t>
  </si>
  <si>
    <t>14:29:00</t>
  </si>
  <si>
    <t>17°33.195</t>
  </si>
  <si>
    <t>63°16.940</t>
  </si>
  <si>
    <t>12:51:00</t>
  </si>
  <si>
    <t>14:32:00</t>
  </si>
  <si>
    <t>17°33.058</t>
  </si>
  <si>
    <t>63°16.908</t>
  </si>
  <si>
    <t>11:07:00</t>
  </si>
  <si>
    <t>12:54:00</t>
  </si>
  <si>
    <t>S38</t>
  </si>
  <si>
    <t>14:34:00</t>
  </si>
  <si>
    <t>S40</t>
  </si>
  <si>
    <t>17°32.963</t>
  </si>
  <si>
    <t>63°16.839</t>
  </si>
  <si>
    <t>13:08:00</t>
  </si>
  <si>
    <t>17°32.876</t>
  </si>
  <si>
    <t>63°16.775</t>
  </si>
  <si>
    <t>13:14:00</t>
  </si>
  <si>
    <t>S42</t>
  </si>
  <si>
    <t>17°32.775</t>
  </si>
  <si>
    <t>63°16.745</t>
  </si>
  <si>
    <t>11:12:00</t>
  </si>
  <si>
    <t>13:15:00</t>
  </si>
  <si>
    <t>15:09:00</t>
  </si>
  <si>
    <t>17°32.710</t>
  </si>
  <si>
    <t>63°16.676</t>
  </si>
  <si>
    <t>13:17:00</t>
  </si>
  <si>
    <t>S39</t>
  </si>
  <si>
    <t>17°30.138</t>
  </si>
  <si>
    <t>63°14.582</t>
  </si>
  <si>
    <t>08:15:00</t>
  </si>
  <si>
    <t>S43</t>
  </si>
  <si>
    <t>?</t>
  </si>
  <si>
    <t>17:01:00</t>
  </si>
  <si>
    <t>17°30.045</t>
  </si>
  <si>
    <t>63°14.552</t>
  </si>
  <si>
    <t>08:17:00</t>
  </si>
  <si>
    <t>09:58:00</t>
  </si>
  <si>
    <t>S44</t>
  </si>
  <si>
    <t>broken hook</t>
  </si>
  <si>
    <t>17:04:00</t>
  </si>
  <si>
    <t>17°29.916</t>
  </si>
  <si>
    <t>62°14.499</t>
  </si>
  <si>
    <t>08:18:00</t>
  </si>
  <si>
    <t>10:03:00</t>
  </si>
  <si>
    <t>11:16:00</t>
  </si>
  <si>
    <t>14:10:00</t>
  </si>
  <si>
    <t>S50</t>
  </si>
  <si>
    <t>17°29.809</t>
  </si>
  <si>
    <t>62°14.477</t>
  </si>
  <si>
    <t>10:05:00</t>
  </si>
  <si>
    <t>14:14:00</t>
  </si>
  <si>
    <t>15:36:00</t>
  </si>
  <si>
    <t>S54</t>
  </si>
  <si>
    <t>17°29.674</t>
  </si>
  <si>
    <t>62°14.429</t>
  </si>
  <si>
    <t>08:21:00</t>
  </si>
  <si>
    <t>10:08:00</t>
  </si>
  <si>
    <t>11:19:00</t>
  </si>
  <si>
    <t>14:17:00</t>
  </si>
  <si>
    <t>S51</t>
  </si>
  <si>
    <t>16:45:00</t>
  </si>
  <si>
    <t>S55</t>
  </si>
  <si>
    <t>17°29.569</t>
  </si>
  <si>
    <t>62°14.382</t>
  </si>
  <si>
    <t>S45/S46</t>
  </si>
  <si>
    <t>11:21:00</t>
  </si>
  <si>
    <t>14:22:00</t>
  </si>
  <si>
    <t>17°29.455</t>
  </si>
  <si>
    <t>62°14.354</t>
  </si>
  <si>
    <t>10:17:00</t>
  </si>
  <si>
    <t>S47</t>
  </si>
  <si>
    <t>11:56:00</t>
  </si>
  <si>
    <t>S48</t>
  </si>
  <si>
    <t>14:25:00</t>
  </si>
  <si>
    <t>S52</t>
  </si>
  <si>
    <t>16:51:00</t>
  </si>
  <si>
    <t>S56</t>
  </si>
  <si>
    <t>17°29.352</t>
  </si>
  <si>
    <t>62°14.340</t>
  </si>
  <si>
    <t>14:28:00</t>
  </si>
  <si>
    <t>S53</t>
  </si>
  <si>
    <t>17°59.804</t>
  </si>
  <si>
    <t>063°04.616</t>
  </si>
  <si>
    <t>11:44:00</t>
  </si>
  <si>
    <t>12:44:00</t>
  </si>
  <si>
    <t>SH1</t>
  </si>
  <si>
    <t>17°59.763</t>
  </si>
  <si>
    <t>063°04.528</t>
  </si>
  <si>
    <t>11:48:00</t>
  </si>
  <si>
    <t>063°04.460</t>
  </si>
  <si>
    <t>13:46:00</t>
  </si>
  <si>
    <t>BDL</t>
  </si>
  <si>
    <t>17°59.728</t>
  </si>
  <si>
    <t>BARRACUDA</t>
  </si>
  <si>
    <t>17°59.725</t>
  </si>
  <si>
    <t>063°04.375</t>
  </si>
  <si>
    <t>11:59:00</t>
  </si>
  <si>
    <t>BW</t>
  </si>
  <si>
    <t>13:54:00</t>
  </si>
  <si>
    <t>17°59.698</t>
  </si>
  <si>
    <t>063°04.310</t>
  </si>
  <si>
    <t>12:03:00</t>
  </si>
  <si>
    <t>12:53:00</t>
  </si>
  <si>
    <t>15:17:00</t>
  </si>
  <si>
    <t>17°59.726</t>
  </si>
  <si>
    <t>063°04.235</t>
  </si>
  <si>
    <t>12:06:00</t>
  </si>
  <si>
    <t>15:20:00</t>
  </si>
  <si>
    <t>17°59.755</t>
  </si>
  <si>
    <t>063°04.157</t>
  </si>
  <si>
    <t>17°59.823</t>
  </si>
  <si>
    <t>063°04.685</t>
  </si>
  <si>
    <t>08:42:00</t>
  </si>
  <si>
    <t>10:47:00</t>
  </si>
  <si>
    <t>12:39:00</t>
  </si>
  <si>
    <t>14:59:00</t>
  </si>
  <si>
    <t>17°59.794</t>
  </si>
  <si>
    <t>063°04.868</t>
  </si>
  <si>
    <t>08:45:00</t>
  </si>
  <si>
    <t>15:06:00</t>
  </si>
  <si>
    <t>17°59.770</t>
  </si>
  <si>
    <t>063°04.536</t>
  </si>
  <si>
    <t>09:52:00</t>
  </si>
  <si>
    <t>10:51:00</t>
  </si>
  <si>
    <t>12:43:00</t>
  </si>
  <si>
    <t>14:16:00</t>
  </si>
  <si>
    <t>17°59.734</t>
  </si>
  <si>
    <t>063°04.462</t>
  </si>
  <si>
    <t>08:51:00</t>
  </si>
  <si>
    <t>09:53:00</t>
  </si>
  <si>
    <t>Line was gone</t>
  </si>
  <si>
    <t>11:53:00</t>
  </si>
  <si>
    <t>12:45:00</t>
  </si>
  <si>
    <t>SH2</t>
  </si>
  <si>
    <t>MAHI MAHI</t>
  </si>
  <si>
    <t>17°59.720</t>
  </si>
  <si>
    <t>063°04.381</t>
  </si>
  <si>
    <t>08:54:00</t>
  </si>
  <si>
    <t>09:56:00</t>
  </si>
  <si>
    <t>11:57:00</t>
  </si>
  <si>
    <t>13:16:00</t>
  </si>
  <si>
    <t>14:18:00</t>
  </si>
  <si>
    <t>063°04.320</t>
  </si>
  <si>
    <t>08:57:00</t>
  </si>
  <si>
    <t>SH3</t>
  </si>
  <si>
    <t>13:18:00</t>
  </si>
  <si>
    <t>15:21:00</t>
  </si>
  <si>
    <t>17°59.760</t>
  </si>
  <si>
    <t>063°04.250</t>
  </si>
  <si>
    <t>10:19:00</t>
  </si>
  <si>
    <t>12:00:00</t>
  </si>
  <si>
    <t>13:22:00</t>
  </si>
  <si>
    <t>14:23:00</t>
  </si>
  <si>
    <t>Hook gone</t>
  </si>
  <si>
    <t>15:24:00</t>
  </si>
  <si>
    <t>09:34:00</t>
  </si>
  <si>
    <t>10:38:00</t>
  </si>
  <si>
    <t>SH5</t>
  </si>
  <si>
    <t>14:13:00</t>
  </si>
  <si>
    <t>09:36:00</t>
  </si>
  <si>
    <t>12:37:00</t>
  </si>
  <si>
    <t>SH6</t>
  </si>
  <si>
    <t>17°59730</t>
  </si>
  <si>
    <t>09:44:00</t>
  </si>
  <si>
    <t>10:46:00</t>
  </si>
  <si>
    <t>SH4</t>
  </si>
  <si>
    <t>17°59.727</t>
  </si>
  <si>
    <t>09:46:00</t>
  </si>
  <si>
    <t>17°59.774</t>
  </si>
  <si>
    <t>063°04.222</t>
  </si>
  <si>
    <t>12:13:00</t>
  </si>
  <si>
    <t>12:50:00</t>
  </si>
  <si>
    <t>14:54:00</t>
  </si>
  <si>
    <t>17°59.791</t>
  </si>
  <si>
    <t>063°04.109</t>
  </si>
  <si>
    <t>09:55:00</t>
  </si>
  <si>
    <t>17°59.789</t>
  </si>
  <si>
    <t>063°04.592</t>
  </si>
  <si>
    <t>13:20:00</t>
  </si>
  <si>
    <t>SH9</t>
  </si>
  <si>
    <t>17°59.768</t>
  </si>
  <si>
    <t>063°04.490</t>
  </si>
  <si>
    <t>09:48:00</t>
  </si>
  <si>
    <t>SH7</t>
  </si>
  <si>
    <t>13:33:00</t>
  </si>
  <si>
    <t>14:48:00</t>
  </si>
  <si>
    <t>17°59.737</t>
  </si>
  <si>
    <t>063°04.407</t>
  </si>
  <si>
    <t>08:53:00</t>
  </si>
  <si>
    <t>10:24:00</t>
  </si>
  <si>
    <t>12:02:00</t>
  </si>
  <si>
    <t>13:38:00</t>
  </si>
  <si>
    <t>17°59.708</t>
  </si>
  <si>
    <t>063°04.292</t>
  </si>
  <si>
    <t>13:43:00</t>
  </si>
  <si>
    <t>17°59.709</t>
  </si>
  <si>
    <t>063°04.194</t>
  </si>
  <si>
    <t>SH8</t>
  </si>
  <si>
    <t>11:29:00</t>
  </si>
  <si>
    <t>12:07:00</t>
  </si>
  <si>
    <t>15:00:00</t>
  </si>
  <si>
    <t>17°59.756</t>
  </si>
  <si>
    <t>063°04.099</t>
  </si>
  <si>
    <t>10:56:00</t>
  </si>
  <si>
    <t>11:34:00</t>
  </si>
  <si>
    <t>063°04.015</t>
  </si>
  <si>
    <t>13:52:00</t>
  </si>
  <si>
    <t>Saba_MarinePark</t>
  </si>
  <si>
    <t>DL bottomset</t>
  </si>
  <si>
    <t>17°38.529</t>
  </si>
  <si>
    <t>63°15.384</t>
  </si>
  <si>
    <t>25.2</t>
  </si>
  <si>
    <t>BS; JB</t>
  </si>
  <si>
    <t>11:52:00</t>
  </si>
  <si>
    <t>17°38.500</t>
  </si>
  <si>
    <t>63°15.369</t>
  </si>
  <si>
    <t>09:59:00</t>
  </si>
  <si>
    <t>10:57:00</t>
  </si>
  <si>
    <t>JB</t>
  </si>
  <si>
    <t>17°38.452</t>
  </si>
  <si>
    <t>63°15.436</t>
  </si>
  <si>
    <t>YS; JB</t>
  </si>
  <si>
    <t>BS</t>
  </si>
  <si>
    <t>17°38.410</t>
  </si>
  <si>
    <t>63°15.476</t>
  </si>
  <si>
    <t>37.2</t>
  </si>
  <si>
    <t>17°38.352</t>
  </si>
  <si>
    <t>63°15.477</t>
  </si>
  <si>
    <t>36.7</t>
  </si>
  <si>
    <t>10:12:00</t>
  </si>
  <si>
    <t>17°38.280</t>
  </si>
  <si>
    <t>63°15.498</t>
  </si>
  <si>
    <t>41.6</t>
  </si>
  <si>
    <t>VS; JB</t>
  </si>
  <si>
    <t>17°38.758</t>
  </si>
  <si>
    <t>63°15.421</t>
  </si>
  <si>
    <t>12:56:00</t>
  </si>
  <si>
    <t>S; JB</t>
  </si>
  <si>
    <t>17°38.629</t>
  </si>
  <si>
    <t>63°15.404</t>
  </si>
  <si>
    <t>13:56:00</t>
  </si>
  <si>
    <t>13:19:00</t>
  </si>
  <si>
    <t>14:01:00</t>
  </si>
  <si>
    <t>12:23:00</t>
  </si>
  <si>
    <t>LS</t>
  </si>
  <si>
    <t>17°38.008</t>
  </si>
  <si>
    <t>63°15.540</t>
  </si>
  <si>
    <t>12:33:00</t>
  </si>
  <si>
    <t>13:25:00</t>
  </si>
  <si>
    <t>15:41:00</t>
  </si>
  <si>
    <t>17°37.893</t>
  </si>
  <si>
    <t>63°15.539</t>
  </si>
  <si>
    <t>12:16:00</t>
  </si>
  <si>
    <t>13:30:00</t>
  </si>
  <si>
    <t>17°33.890</t>
  </si>
  <si>
    <t>63°18.131</t>
  </si>
  <si>
    <t>09:51:00</t>
  </si>
  <si>
    <t>Barracuda</t>
  </si>
  <si>
    <t>Hook straightened</t>
  </si>
  <si>
    <t>17°33.816</t>
  </si>
  <si>
    <t>63°17.907</t>
  </si>
  <si>
    <t>07:51:00</t>
  </si>
  <si>
    <t>Line gone</t>
  </si>
  <si>
    <t>07:56:00</t>
  </si>
  <si>
    <t>bait GF?; Hook bent</t>
  </si>
  <si>
    <t>11:01:00</t>
  </si>
  <si>
    <t>BU?</t>
  </si>
  <si>
    <t>17°33.559</t>
  </si>
  <si>
    <t>63°17.523</t>
  </si>
  <si>
    <t>08:14:00</t>
  </si>
  <si>
    <t>17°33.472</t>
  </si>
  <si>
    <t>63°17.360</t>
  </si>
  <si>
    <t>10:13:00</t>
  </si>
  <si>
    <t>13:13:00</t>
  </si>
  <si>
    <t>14:02:00</t>
  </si>
  <si>
    <t>17°33.323</t>
  </si>
  <si>
    <t>63°17.244</t>
  </si>
  <si>
    <t>10:18:00</t>
  </si>
  <si>
    <t>14:05:00</t>
  </si>
  <si>
    <t>63°17.956</t>
  </si>
  <si>
    <t>08:35:00</t>
  </si>
  <si>
    <t>10:23:00</t>
  </si>
  <si>
    <t>11:45:00</t>
  </si>
  <si>
    <t>WG</t>
  </si>
  <si>
    <t>BG?</t>
  </si>
  <si>
    <t>bait bag; Set up gone</t>
  </si>
  <si>
    <t>09:54:00</t>
  </si>
  <si>
    <t>08:58:00</t>
  </si>
  <si>
    <t>09:57:00</t>
  </si>
  <si>
    <t>12:28:00</t>
  </si>
  <si>
    <t>13:31:00</t>
  </si>
  <si>
    <t>C</t>
  </si>
  <si>
    <t>10:00:00</t>
  </si>
  <si>
    <t>14:40:00</t>
  </si>
  <si>
    <t>Line entangeled</t>
  </si>
  <si>
    <t>09:07:00</t>
  </si>
  <si>
    <t>11:18:00</t>
  </si>
  <si>
    <t>12:36:00</t>
  </si>
  <si>
    <t>10:07:00</t>
  </si>
  <si>
    <t>P</t>
  </si>
  <si>
    <t>Hook bent</t>
  </si>
  <si>
    <t>CW</t>
  </si>
  <si>
    <t>09:16:00</t>
  </si>
  <si>
    <t>10:11:00</t>
  </si>
  <si>
    <t>13:47:00</t>
  </si>
  <si>
    <t>17.5</t>
  </si>
  <si>
    <t>09:23:00</t>
  </si>
  <si>
    <t>Hook broken and straightened</t>
  </si>
  <si>
    <t>CG</t>
  </si>
  <si>
    <t>DL dubble hook</t>
  </si>
  <si>
    <t>17°33.283</t>
  </si>
  <si>
    <t>63°16.921</t>
  </si>
  <si>
    <t>09:02:00</t>
  </si>
  <si>
    <t>10:27:00</t>
  </si>
  <si>
    <t>12:49:00</t>
  </si>
  <si>
    <t>14:49:00</t>
  </si>
  <si>
    <t>17°33.322</t>
  </si>
  <si>
    <t>63°16.938</t>
  </si>
  <si>
    <t>10:29:00</t>
  </si>
  <si>
    <t>13:51:00</t>
  </si>
  <si>
    <t>17°33.361</t>
  </si>
  <si>
    <t>63°16.954</t>
  </si>
  <si>
    <t>10:34:00</t>
  </si>
  <si>
    <t>15:29:00</t>
  </si>
  <si>
    <t>AJM</t>
  </si>
  <si>
    <t>17°33.409</t>
  </si>
  <si>
    <t>63°16.978</t>
  </si>
  <si>
    <t>22.8</t>
  </si>
  <si>
    <t>AJH</t>
  </si>
  <si>
    <t>14:04:00</t>
  </si>
  <si>
    <t>17°33.447</t>
  </si>
  <si>
    <t>63°17.013</t>
  </si>
  <si>
    <t>14:06:00</t>
  </si>
  <si>
    <t>17°33.511</t>
  </si>
  <si>
    <t>63°17.057</t>
  </si>
  <si>
    <t>09:20:00</t>
  </si>
  <si>
    <t>14:11:00</t>
  </si>
  <si>
    <t>Reef shark ate AJ and reef shark bitten by Tiger shark</t>
  </si>
  <si>
    <t>17°33.531</t>
  </si>
  <si>
    <t>63°17.099</t>
  </si>
  <si>
    <t>14:12:00</t>
  </si>
  <si>
    <t>17°33.582</t>
  </si>
  <si>
    <t>63°17.136</t>
  </si>
  <si>
    <t>09:26:00</t>
  </si>
  <si>
    <t>11:41:00</t>
  </si>
  <si>
    <t>17°33.612</t>
  </si>
  <si>
    <t>63°17.178</t>
  </si>
  <si>
    <t>11:49:00</t>
  </si>
  <si>
    <t>15:37:00</t>
  </si>
  <si>
    <t>08:06:00</t>
  </si>
  <si>
    <t>13:02:00</t>
  </si>
  <si>
    <t>13:55:00</t>
  </si>
  <si>
    <t>08:08:00</t>
  </si>
  <si>
    <t>ESCT</t>
  </si>
  <si>
    <t>RSH</t>
  </si>
  <si>
    <t>13:04:00</t>
  </si>
  <si>
    <t>WH</t>
  </si>
  <si>
    <t>NST</t>
  </si>
  <si>
    <t>And line with hooks gone</t>
  </si>
  <si>
    <t>08:11:00</t>
  </si>
  <si>
    <t>10:42:00</t>
  </si>
  <si>
    <t>CO</t>
  </si>
  <si>
    <t>13:06:00</t>
  </si>
  <si>
    <t>RSM</t>
  </si>
  <si>
    <t>both hooks straightened</t>
  </si>
  <si>
    <t>DL tripel hook</t>
  </si>
  <si>
    <t>two hooks straigthened and one hook gone</t>
  </si>
  <si>
    <t>ESCH</t>
  </si>
  <si>
    <t>Bait floating at time in</t>
  </si>
  <si>
    <t>12:24:00</t>
  </si>
  <si>
    <t>17°33.231</t>
  </si>
  <si>
    <t>63°16.900</t>
  </si>
  <si>
    <t>22.4</t>
  </si>
  <si>
    <t>LF</t>
  </si>
  <si>
    <t>Hook broken</t>
  </si>
  <si>
    <t>17°33.165</t>
  </si>
  <si>
    <t>63°16.856</t>
  </si>
  <si>
    <t>08:33:00</t>
  </si>
  <si>
    <t>Shark took whole line, bitten of at blue rope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</si>
</sst>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"/>
    <numFmt numFmtId="165" formatCode="[$-409]h:mm:ss\ AM/PM"/>
    <numFmt numFmtId="166" formatCode="0.00000"/>
    <numFmt numFmtId="167" formatCode="00000"/>
    <numFmt numFmtId="168" formatCode="[$-F400]h:mm:ss\ AM/PM"/>
    <numFmt numFmtId="169" formatCode="HH:mm:ss"/>
    <numFmt numFmtId="170" formatCode="0.0%"/>
  </numFmts>
  <fonts count="15">
    <font>
      <sz val="12.0"/>
      <color theme="1"/>
      <name val="Calibri"/>
      <scheme val="minor"/>
    </font>
    <font>
      <b/>
      <color theme="1"/>
      <name val="Arial"/>
    </font>
    <font>
      <color theme="1"/>
      <name val="Arial"/>
    </font>
    <font>
      <u/>
      <color theme="1"/>
      <name val="Arial"/>
    </font>
    <font>
      <u/>
      <color rgb="FFFF0000"/>
      <name val="Arial"/>
    </font>
    <font>
      <sz val="10.0"/>
      <color rgb="FFFFFFFF"/>
      <name val="Arial"/>
    </font>
    <font>
      <i/>
      <color theme="1"/>
      <name val="Arial"/>
    </font>
    <font>
      <sz val="11.0"/>
      <color rgb="FFFFFFFF"/>
      <name val="Arial"/>
    </font>
    <font>
      <color theme="1"/>
      <name val="Calibri"/>
    </font>
    <font>
      <sz val="11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color theme="1"/>
      <name val="Calibri"/>
      <scheme val="minor"/>
    </font>
    <font>
      <sz val="12.0"/>
      <color theme="1"/>
      <name val="Calibri"/>
    </font>
    <font>
      <sz val="11.0"/>
      <color theme="1"/>
      <name val="Inconsolata"/>
    </font>
  </fonts>
  <fills count="12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2" fontId="5" numFmtId="0" xfId="0" applyAlignment="1" applyFill="1" applyFont="1">
      <alignment horizontal="center"/>
    </xf>
    <xf borderId="0" fillId="0" fontId="1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2" fontId="7" numFmtId="0" xfId="0" applyAlignment="1" applyFill="1" applyFont="1">
      <alignment horizontal="center"/>
    </xf>
    <xf borderId="0" fillId="2" fontId="5" numFmtId="0" xfId="0" applyAlignment="1" applyFill="1" applyFont="1">
      <alignment horizontal="left"/>
    </xf>
    <xf borderId="0" fillId="0" fontId="2" numFmtId="164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0" fillId="0" fontId="8" numFmtId="0" xfId="0" applyFont="1"/>
    <xf borderId="0" fillId="0" fontId="9" numFmtId="0" xfId="0" applyAlignment="1" applyFont="1">
      <alignment horizontal="center" vertical="bottom"/>
    </xf>
    <xf borderId="0" fillId="0" fontId="2" numFmtId="165" xfId="0" applyAlignment="1" applyFont="1" applyNumberFormat="1">
      <alignment horizontal="right" vertical="bottom"/>
    </xf>
    <xf borderId="0" fillId="3" fontId="10" numFmtId="0" xfId="0" applyAlignment="1" applyFill="1" applyFont="1">
      <alignment horizontal="center"/>
    </xf>
    <xf borderId="0" fillId="0" fontId="2" numFmtId="49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3" fontId="10" numFmtId="164" xfId="0" applyAlignment="1" applyFill="1" applyFont="1" applyNumberFormat="1">
      <alignment horizontal="center"/>
    </xf>
    <xf borderId="0" fillId="0" fontId="2" numFmtId="49" xfId="0" applyAlignment="1" applyFont="1" applyNumberFormat="1">
      <alignment vertical="bottom"/>
    </xf>
    <xf borderId="0" fillId="3" fontId="10" numFmtId="20" xfId="0" applyAlignment="1" applyFill="1" applyFont="1" applyNumberFormat="1">
      <alignment horizontal="center"/>
    </xf>
    <xf borderId="0" fillId="3" fontId="10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/>
    </xf>
    <xf borderId="0" fillId="3" fontId="10" numFmtId="0" xfId="0" applyAlignment="1" applyFill="1" applyFont="1">
      <alignment horizontal="left"/>
    </xf>
    <xf borderId="0" fillId="0" fontId="10" numFmtId="0" xfId="0" applyAlignment="1" applyFont="1">
      <alignment horizontal="center"/>
    </xf>
    <xf borderId="0" fillId="4" fontId="10" numFmtId="0" xfId="0" applyAlignment="1" applyFill="1" applyFont="1">
      <alignment horizontal="center"/>
    </xf>
    <xf borderId="0" fillId="4" fontId="10" numFmtId="164" xfId="0" applyAlignment="1" applyFill="1" applyFont="1" applyNumberFormat="1">
      <alignment horizontal="center"/>
    </xf>
    <xf borderId="0" fillId="4" fontId="10" numFmtId="20" xfId="0" applyAlignment="1" applyFill="1" applyFont="1" applyNumberFormat="1">
      <alignment horizontal="center"/>
    </xf>
    <xf borderId="0" fillId="4" fontId="10" numFmtId="0" xfId="0" applyAlignment="1" applyFill="1" applyFont="1">
      <alignment horizontal="center" readingOrder="0"/>
    </xf>
    <xf borderId="0" fillId="4" fontId="11" numFmtId="0" xfId="0" applyAlignment="1" applyFill="1" applyFont="1">
      <alignment horizontal="center"/>
    </xf>
    <xf borderId="1" fillId="5" fontId="2" numFmtId="0" xfId="0" applyAlignment="1" applyBorder="1" applyFill="1" applyFont="1">
      <alignment vertical="bottom"/>
    </xf>
    <xf borderId="0" fillId="4" fontId="10" numFmtId="0" xfId="0" applyAlignment="1" applyFill="1" applyFont="1">
      <alignment horizontal="left"/>
    </xf>
    <xf borderId="0" fillId="3" fontId="10" numFmtId="166" xfId="0" applyAlignment="1" applyFill="1" applyFont="1" applyNumberFormat="1">
      <alignment horizontal="center" readingOrder="0"/>
    </xf>
    <xf borderId="0" fillId="0" fontId="2" numFmtId="20" xfId="0" applyAlignment="1" applyFont="1" applyNumberFormat="1">
      <alignment horizontal="right" vertical="bottom"/>
    </xf>
    <xf borderId="0" fillId="0" fontId="2" numFmtId="9" xfId="0" applyAlignment="1" applyFont="1" applyNumberFormat="1">
      <alignment horizontal="right" vertical="bottom"/>
    </xf>
    <xf borderId="0" fillId="4" fontId="10" numFmtId="166" xfId="0" applyAlignment="1" applyFill="1" applyFont="1" applyNumberFormat="1">
      <alignment horizontal="center" readingOrder="0"/>
    </xf>
    <xf borderId="0" fillId="6" fontId="12" numFmtId="0" xfId="0" applyFill="1" applyFont="1"/>
    <xf borderId="0" fillId="3" fontId="10" numFmtId="166" xfId="0" applyAlignment="1" applyFill="1" applyFont="1" applyNumberFormat="1">
      <alignment horizontal="center"/>
    </xf>
    <xf borderId="0" fillId="4" fontId="10" numFmtId="166" xfId="0" applyAlignment="1" applyFill="1" applyFont="1" applyNumberFormat="1">
      <alignment horizontal="center"/>
    </xf>
    <xf borderId="0" fillId="3" fontId="10" numFmtId="165" xfId="0" applyAlignment="1" applyFill="1" applyFont="1" applyNumberFormat="1">
      <alignment horizontal="center"/>
    </xf>
    <xf borderId="0" fillId="4" fontId="10" numFmtId="165" xfId="0" applyAlignment="1" applyFill="1" applyFont="1" applyNumberFormat="1">
      <alignment horizontal="center"/>
    </xf>
    <xf borderId="0" fillId="4" fontId="10" numFmtId="167" xfId="0" applyAlignment="1" applyFill="1" applyFont="1" applyNumberFormat="1">
      <alignment horizontal="center"/>
    </xf>
    <xf borderId="0" fillId="3" fontId="10" numFmtId="167" xfId="0" applyAlignment="1" applyFill="1" applyFont="1" applyNumberFormat="1">
      <alignment horizontal="center"/>
    </xf>
    <xf borderId="0" fillId="0" fontId="2" numFmtId="168" xfId="0" applyAlignment="1" applyFont="1" applyNumberFormat="1">
      <alignment horizontal="right" vertical="bottom"/>
    </xf>
    <xf borderId="0" fillId="0" fontId="2" numFmtId="168" xfId="0" applyAlignment="1" applyFont="1" applyNumberFormat="1">
      <alignment vertical="bottom"/>
    </xf>
    <xf borderId="0" fillId="4" fontId="10" numFmtId="49" xfId="0" applyAlignment="1" applyFill="1" applyFont="1" applyNumberFormat="1">
      <alignment horizontal="center"/>
    </xf>
    <xf borderId="0" fillId="4" fontId="10" numFmtId="49" xfId="0" applyAlignment="1" applyFill="1" applyFont="1" applyNumberFormat="1">
      <alignment horizontal="center" readingOrder="0"/>
    </xf>
    <xf borderId="0" fillId="3" fontId="10" numFmtId="49" xfId="0" applyAlignment="1" applyFill="1" applyFont="1" applyNumberFormat="1">
      <alignment horizontal="center"/>
    </xf>
    <xf borderId="0" fillId="3" fontId="10" numFmtId="49" xfId="0" applyAlignment="1" applyFill="1" applyFont="1" applyNumberFormat="1">
      <alignment horizontal="center" readingOrder="0"/>
    </xf>
    <xf quotePrefix="1" borderId="0" fillId="0" fontId="2" numFmtId="165" xfId="0" applyAlignment="1" applyFont="1" applyNumberFormat="1">
      <alignment horizontal="right" vertical="bottom"/>
    </xf>
    <xf borderId="0" fillId="4" fontId="8" numFmtId="0" xfId="0" applyAlignment="1" applyFill="1" applyFont="1">
      <alignment horizontal="center"/>
    </xf>
    <xf borderId="0" fillId="3" fontId="8" numFmtId="0" xfId="0" applyAlignment="1" applyFill="1" applyFont="1">
      <alignment horizontal="center"/>
    </xf>
    <xf borderId="0" fillId="7" fontId="10" numFmtId="0" xfId="0" applyAlignment="1" applyFill="1" applyFont="1">
      <alignment horizontal="center"/>
    </xf>
    <xf borderId="0" fillId="3" fontId="11" numFmtId="0" xfId="0" applyAlignment="1" applyFill="1" applyFont="1">
      <alignment horizontal="left"/>
    </xf>
    <xf borderId="0" fillId="4" fontId="11" numFmtId="0" xfId="0" applyAlignment="1" applyFill="1" applyFont="1">
      <alignment horizontal="left"/>
    </xf>
    <xf borderId="0" fillId="3" fontId="2" numFmtId="0" xfId="0" applyAlignment="1" applyFill="1" applyFon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4" fontId="13" numFmtId="0" xfId="0" applyAlignment="1" applyFill="1" applyFont="1">
      <alignment horizontal="center" vertical="bottom"/>
    </xf>
    <xf borderId="0" fillId="3" fontId="13" numFmtId="0" xfId="0" applyAlignment="1" applyFill="1" applyFont="1">
      <alignment horizontal="center" vertical="bottom"/>
    </xf>
    <xf borderId="0" fillId="0" fontId="2" numFmtId="169" xfId="0" applyAlignment="1" applyFont="1" applyNumberFormat="1">
      <alignment horizontal="right" vertical="bottom"/>
    </xf>
    <xf borderId="0" fillId="8" fontId="2" numFmtId="0" xfId="0" applyAlignment="1" applyFill="1" applyFont="1">
      <alignment horizontal="right" vertical="bottom"/>
    </xf>
    <xf borderId="0" fillId="8" fontId="2" numFmtId="0" xfId="0" applyAlignment="1" applyFill="1" applyFont="1">
      <alignment vertical="bottom"/>
    </xf>
    <xf borderId="0" fillId="8" fontId="2" numFmtId="20" xfId="0" applyAlignment="1" applyFill="1" applyFont="1" applyNumberFormat="1">
      <alignment horizontal="right" vertical="bottom"/>
    </xf>
    <xf borderId="0" fillId="8" fontId="2" numFmtId="169" xfId="0" applyAlignment="1" applyFill="1" applyFont="1" applyNumberFormat="1">
      <alignment horizontal="right" vertical="bottom"/>
    </xf>
    <xf borderId="0" fillId="8" fontId="2" numFmtId="49" xfId="0" applyAlignment="1" applyFill="1" applyFont="1" applyNumberFormat="1">
      <alignment horizontal="right" vertical="bottom"/>
    </xf>
    <xf borderId="0" fillId="9" fontId="2" numFmtId="0" xfId="0" applyAlignment="1" applyFill="1" applyFont="1">
      <alignment horizontal="right" readingOrder="0" shrinkToFit="0" vertical="bottom" wrapText="1"/>
    </xf>
    <xf borderId="0" fillId="0" fontId="2" numFmtId="170" xfId="0" applyAlignment="1" applyFont="1" applyNumberFormat="1">
      <alignment horizontal="right" vertical="bottom"/>
    </xf>
    <xf borderId="1" fillId="10" fontId="14" numFmtId="0" xfId="0" applyAlignment="1" applyBorder="1" applyFill="1" applyFont="1">
      <alignment horizontal="right" vertical="bottom"/>
    </xf>
    <xf borderId="1" fillId="8" fontId="2" numFmtId="0" xfId="0" applyAlignment="1" applyBorder="1" applyFill="1" applyFont="1">
      <alignment horizontal="right" vertical="bottom"/>
    </xf>
    <xf borderId="1" fillId="8" fontId="2" numFmtId="0" xfId="0" applyAlignment="1" applyBorder="1" applyFill="1" applyFont="1">
      <alignment vertical="bottom"/>
    </xf>
    <xf borderId="1" fillId="8" fontId="2" numFmtId="20" xfId="0" applyAlignment="1" applyBorder="1" applyFill="1" applyFont="1" applyNumberFormat="1">
      <alignment horizontal="right" vertical="bottom"/>
    </xf>
    <xf borderId="1" fillId="8" fontId="2" numFmtId="49" xfId="0" applyAlignment="1" applyBorder="1" applyFill="1" applyFont="1" applyNumberFormat="1">
      <alignment horizontal="right" vertical="bottom"/>
    </xf>
    <xf borderId="0" fillId="11" fontId="2" numFmtId="0" xfId="0" applyAlignment="1" applyFill="1" applyFont="1">
      <alignment horizontal="right" vertical="bottom"/>
    </xf>
    <xf borderId="0" fillId="11" fontId="2" numFmtId="0" xfId="0" applyAlignment="1" applyFill="1" applyFont="1">
      <alignment vertical="bottom"/>
    </xf>
    <xf borderId="0" fillId="11" fontId="2" numFmtId="20" xfId="0" applyAlignment="1" applyFill="1" applyFont="1" applyNumberFormat="1">
      <alignment horizontal="right" vertical="bottom"/>
    </xf>
    <xf borderId="0" fillId="11" fontId="2" numFmtId="49" xfId="0" applyAlignment="1" applyFill="1" applyFont="1" applyNumberFormat="1">
      <alignment horizontal="right" vertical="bottom"/>
    </xf>
    <xf quotePrefix="1" borderId="0" fillId="11" fontId="2" numFmtId="0" xfId="0" applyAlignment="1" applyFill="1" applyFont="1">
      <alignment vertical="bottom"/>
    </xf>
    <xf borderId="0" fillId="11" fontId="2" numFmtId="49" xfId="0" applyAlignment="1" applyFill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8</v>
      </c>
      <c r="B2" s="2" t="s">
        <v>10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17</v>
      </c>
      <c r="B3" s="2" t="s">
        <v>19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32</v>
      </c>
      <c r="B5" s="2"/>
      <c r="C5" s="2"/>
      <c r="D5" s="2"/>
      <c r="E5" s="3" t="s">
        <v>36</v>
      </c>
      <c r="F5" s="2"/>
      <c r="G5" s="2"/>
      <c r="H5" s="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45</v>
      </c>
      <c r="B6" s="2" t="s">
        <v>47</v>
      </c>
      <c r="C6" s="2"/>
      <c r="D6" s="2"/>
      <c r="E6" s="2" t="s">
        <v>50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63</v>
      </c>
      <c r="B7" s="2" t="s">
        <v>65</v>
      </c>
      <c r="C7" s="2"/>
      <c r="D7" s="2"/>
      <c r="E7" s="2" t="s">
        <v>68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73</v>
      </c>
      <c r="B8" s="2" t="s">
        <v>75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85</v>
      </c>
      <c r="B9" s="2" t="s">
        <v>75</v>
      </c>
      <c r="C9" s="2"/>
      <c r="D9" s="2"/>
      <c r="E9" s="3" t="s">
        <v>89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97</v>
      </c>
      <c r="B10" s="2" t="s">
        <v>100</v>
      </c>
      <c r="C10" s="2"/>
      <c r="D10" s="2"/>
      <c r="E10" s="7" t="s">
        <v>104</v>
      </c>
      <c r="F10" s="7" t="s">
        <v>110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119</v>
      </c>
      <c r="B11" s="2" t="s">
        <v>123</v>
      </c>
      <c r="C11" s="2"/>
      <c r="D11" s="2"/>
      <c r="E11" s="2" t="s">
        <v>126</v>
      </c>
      <c r="F11" s="2" t="s">
        <v>128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134</v>
      </c>
      <c r="B12" s="2" t="s">
        <v>136</v>
      </c>
      <c r="C12" s="2"/>
      <c r="D12" s="2"/>
      <c r="E12" s="2" t="s">
        <v>138</v>
      </c>
      <c r="F12" s="2" t="s">
        <v>141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149</v>
      </c>
      <c r="B13" s="2" t="s">
        <v>65</v>
      </c>
      <c r="C13" s="2"/>
      <c r="D13" s="2"/>
      <c r="E13" s="2" t="s">
        <v>153</v>
      </c>
      <c r="F13" s="2" t="s">
        <v>155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160</v>
      </c>
      <c r="B14" s="2" t="s">
        <v>136</v>
      </c>
      <c r="C14" s="2"/>
      <c r="D14" s="2"/>
      <c r="E14" s="2" t="s">
        <v>162</v>
      </c>
      <c r="F14" s="2" t="s">
        <v>163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164</v>
      </c>
      <c r="B15" s="2" t="s">
        <v>166</v>
      </c>
      <c r="C15" s="2"/>
      <c r="D15" s="2"/>
      <c r="E15" s="2" t="s">
        <v>169</v>
      </c>
      <c r="F15" s="2" t="s">
        <v>170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174</v>
      </c>
      <c r="B16" s="2" t="s">
        <v>166</v>
      </c>
      <c r="C16" s="2"/>
      <c r="D16" s="2"/>
      <c r="E16" s="2" t="s">
        <v>177</v>
      </c>
      <c r="F16" s="2" t="s">
        <v>179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185</v>
      </c>
      <c r="B17" s="2" t="s">
        <v>186</v>
      </c>
      <c r="C17" s="2"/>
      <c r="D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191</v>
      </c>
      <c r="B18" s="2" t="s">
        <v>186</v>
      </c>
      <c r="C18" s="2"/>
      <c r="D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201</v>
      </c>
      <c r="B19" s="2" t="s">
        <v>202</v>
      </c>
      <c r="C19" s="2"/>
      <c r="D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206</v>
      </c>
      <c r="B20" s="2" t="s">
        <v>207</v>
      </c>
      <c r="C20" s="2"/>
      <c r="D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 t="s">
        <v>208</v>
      </c>
      <c r="B21" s="2" t="s">
        <v>209</v>
      </c>
      <c r="C21" s="2"/>
      <c r="D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 t="s">
        <v>212</v>
      </c>
      <c r="B22" s="2" t="s">
        <v>136</v>
      </c>
      <c r="C22" s="2"/>
      <c r="D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 t="s">
        <v>215</v>
      </c>
      <c r="B23" s="2" t="s">
        <v>136</v>
      </c>
      <c r="C23" s="2"/>
      <c r="D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 t="s">
        <v>216</v>
      </c>
      <c r="B24" s="2" t="s">
        <v>217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 t="s">
        <v>219</v>
      </c>
      <c r="B25" s="2" t="s">
        <v>220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>
      <c r="A27" s="1" t="s">
        <v>0</v>
      </c>
      <c r="B27" s="1" t="s">
        <v>228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 t="s">
        <v>8</v>
      </c>
      <c r="B28" s="2" t="s">
        <v>233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 t="s">
        <v>17</v>
      </c>
      <c r="B29" s="2" t="s">
        <v>236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32</v>
      </c>
      <c r="B31" s="2"/>
      <c r="C31" s="2"/>
      <c r="D31" s="3" t="s">
        <v>36</v>
      </c>
      <c r="E31" s="2"/>
      <c r="F31" s="2"/>
      <c r="G31" s="4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 t="s">
        <v>212</v>
      </c>
      <c r="B32" s="2" t="s">
        <v>136</v>
      </c>
      <c r="C32" s="2"/>
      <c r="D32" s="2" t="s">
        <v>243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 t="s">
        <v>160</v>
      </c>
      <c r="B33" s="2" t="s">
        <v>136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 t="s">
        <v>248</v>
      </c>
      <c r="B34" s="2" t="s">
        <v>136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 t="s">
        <v>215</v>
      </c>
      <c r="B35" s="2" t="s">
        <v>136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 t="s">
        <v>134</v>
      </c>
      <c r="B36" s="2" t="s">
        <v>136</v>
      </c>
      <c r="C36" s="2"/>
      <c r="D36" s="3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 t="s">
        <v>255</v>
      </c>
      <c r="B37" s="2" t="s">
        <v>256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 t="s">
        <v>261</v>
      </c>
      <c r="B38" s="2" t="s">
        <v>256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 t="s">
        <v>264</v>
      </c>
      <c r="B39" s="2" t="s">
        <v>256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 t="s">
        <v>191</v>
      </c>
      <c r="B40" s="2" t="s">
        <v>186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 t="s">
        <v>269</v>
      </c>
      <c r="B41" s="2" t="s">
        <v>186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 t="s">
        <v>274</v>
      </c>
      <c r="B42" s="2" t="s">
        <v>186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 t="s">
        <v>279</v>
      </c>
      <c r="B43" s="2" t="s">
        <v>186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 t="s">
        <v>285</v>
      </c>
      <c r="B44" s="2" t="s">
        <v>186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 t="s">
        <v>289</v>
      </c>
      <c r="B45" s="2" t="s">
        <v>186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 t="s">
        <v>293</v>
      </c>
      <c r="B46" s="2" t="s">
        <v>186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 t="s">
        <v>297</v>
      </c>
      <c r="B47" s="2" t="s">
        <v>298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 t="s">
        <v>303</v>
      </c>
      <c r="B48" s="2" t="s">
        <v>298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 t="s">
        <v>307</v>
      </c>
      <c r="B49" s="2" t="s">
        <v>298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 t="s">
        <v>311</v>
      </c>
      <c r="B50" s="2" t="s">
        <v>298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 t="s">
        <v>313</v>
      </c>
      <c r="B51" s="2" t="s">
        <v>298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 t="s">
        <v>318</v>
      </c>
      <c r="B52" s="2" t="s">
        <v>319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>
      <c r="A54" s="1" t="s">
        <v>0</v>
      </c>
      <c r="B54" s="1" t="s">
        <v>326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 t="s">
        <v>8</v>
      </c>
      <c r="B55" s="2" t="s">
        <v>331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 t="s">
        <v>17</v>
      </c>
      <c r="B56" s="2" t="s">
        <v>334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32</v>
      </c>
      <c r="B58" s="2"/>
      <c r="C58" s="2"/>
      <c r="D58" s="2"/>
      <c r="E58" s="3" t="s">
        <v>36</v>
      </c>
      <c r="F58" s="2"/>
      <c r="G58" s="2"/>
      <c r="H58" s="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 t="s">
        <v>212</v>
      </c>
      <c r="B59" s="2" t="s">
        <v>136</v>
      </c>
      <c r="C59" s="2"/>
      <c r="D59" s="2"/>
      <c r="E59" s="2" t="s">
        <v>348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 t="s">
        <v>215</v>
      </c>
      <c r="B60" s="2" t="s">
        <v>136</v>
      </c>
      <c r="C60" s="2"/>
      <c r="D60" s="2"/>
      <c r="E60" s="2" t="s">
        <v>353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 t="s">
        <v>160</v>
      </c>
      <c r="B61" s="2" t="s">
        <v>136</v>
      </c>
      <c r="C61" s="2"/>
      <c r="D61" s="2"/>
      <c r="E61" s="2" t="s">
        <v>363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 t="s">
        <v>134</v>
      </c>
      <c r="B62" s="2" t="s">
        <v>136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 t="s">
        <v>255</v>
      </c>
      <c r="B63" s="2" t="s">
        <v>256</v>
      </c>
      <c r="C63" s="2"/>
      <c r="D63" s="2"/>
      <c r="E63" s="3" t="s">
        <v>89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 t="s">
        <v>374</v>
      </c>
      <c r="B64" s="2" t="s">
        <v>256</v>
      </c>
      <c r="C64" s="2"/>
      <c r="D64" s="2"/>
      <c r="E64" s="7" t="s">
        <v>104</v>
      </c>
      <c r="F64" s="7" t="s">
        <v>110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 t="s">
        <v>382</v>
      </c>
      <c r="B65" s="2" t="s">
        <v>383</v>
      </c>
      <c r="C65" s="2"/>
      <c r="D65" s="2"/>
      <c r="E65" s="2" t="s">
        <v>126</v>
      </c>
      <c r="F65" s="2" t="s">
        <v>128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 t="s">
        <v>264</v>
      </c>
      <c r="B66" s="2" t="s">
        <v>256</v>
      </c>
      <c r="C66" s="2"/>
      <c r="D66" s="2"/>
      <c r="E66" s="2" t="s">
        <v>138</v>
      </c>
      <c r="F66" s="2" t="s">
        <v>141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 t="s">
        <v>261</v>
      </c>
      <c r="B67" s="2" t="s">
        <v>256</v>
      </c>
      <c r="C67" s="2"/>
      <c r="D67" s="2"/>
      <c r="E67" s="2" t="s">
        <v>153</v>
      </c>
      <c r="F67" s="2" t="s">
        <v>155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 t="s">
        <v>418</v>
      </c>
      <c r="B68" s="2" t="s">
        <v>423</v>
      </c>
      <c r="C68" s="2"/>
      <c r="D68" s="2"/>
      <c r="E68" s="2" t="s">
        <v>162</v>
      </c>
      <c r="F68" s="2" t="s">
        <v>163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 t="s">
        <v>426</v>
      </c>
      <c r="B69" s="2" t="s">
        <v>383</v>
      </c>
      <c r="C69" s="2"/>
      <c r="D69" s="2"/>
      <c r="E69" s="2" t="s">
        <v>169</v>
      </c>
      <c r="F69" s="2" t="s">
        <v>170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 t="s">
        <v>430</v>
      </c>
      <c r="B70" s="2" t="s">
        <v>383</v>
      </c>
      <c r="C70" s="2"/>
      <c r="D70" s="2"/>
      <c r="E70" s="2" t="s">
        <v>177</v>
      </c>
      <c r="F70" s="2" t="s">
        <v>179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 t="s">
        <v>435</v>
      </c>
      <c r="B71" s="2" t="s">
        <v>436</v>
      </c>
      <c r="C71" s="2"/>
      <c r="D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 t="s">
        <v>441</v>
      </c>
      <c r="B72" s="2" t="s">
        <v>436</v>
      </c>
      <c r="C72" s="2"/>
      <c r="D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>
      <c r="A79" s="1" t="s">
        <v>0</v>
      </c>
      <c r="B79" s="1" t="s">
        <v>470</v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 t="s">
        <v>8</v>
      </c>
      <c r="B80" s="2" t="s">
        <v>474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 t="s">
        <v>17</v>
      </c>
      <c r="B81" s="2" t="s">
        <v>334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32</v>
      </c>
      <c r="B83" s="2"/>
      <c r="C83" s="2"/>
      <c r="D83" s="2"/>
      <c r="E83" s="3" t="s">
        <v>36</v>
      </c>
      <c r="F83" s="2"/>
      <c r="G83" s="2"/>
      <c r="H83" s="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 t="s">
        <v>212</v>
      </c>
      <c r="B84" s="2" t="s">
        <v>136</v>
      </c>
      <c r="C84" s="2"/>
      <c r="D84" s="2"/>
      <c r="E84" s="2" t="s">
        <v>348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 t="s">
        <v>215</v>
      </c>
      <c r="B85" s="2" t="s">
        <v>136</v>
      </c>
      <c r="C85" s="2"/>
      <c r="D85" s="2"/>
      <c r="E85" s="2" t="s">
        <v>353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 t="s">
        <v>160</v>
      </c>
      <c r="B86" s="2" t="s">
        <v>136</v>
      </c>
      <c r="C86" s="2"/>
      <c r="D86" s="2"/>
      <c r="E86" s="2" t="s">
        <v>363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 t="s">
        <v>134</v>
      </c>
      <c r="B87" s="2" t="s">
        <v>136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 t="s">
        <v>255</v>
      </c>
      <c r="B88" s="2" t="s">
        <v>256</v>
      </c>
      <c r="C88" s="2"/>
      <c r="D88" s="2"/>
      <c r="E88" s="3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 t="s">
        <v>374</v>
      </c>
      <c r="B89" s="2" t="s">
        <v>256</v>
      </c>
      <c r="C89" s="2"/>
      <c r="D89" s="2"/>
      <c r="E89" s="7"/>
      <c r="F89" s="7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 t="s">
        <v>382</v>
      </c>
      <c r="B90" s="2" t="s">
        <v>383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 t="s">
        <v>264</v>
      </c>
      <c r="B91" s="2" t="s">
        <v>256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 t="s">
        <v>261</v>
      </c>
      <c r="B92" s="2" t="s">
        <v>256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 t="s">
        <v>418</v>
      </c>
      <c r="B93" s="2" t="s">
        <v>423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 t="s">
        <v>426</v>
      </c>
      <c r="B94" s="2" t="s">
        <v>383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 t="s">
        <v>430</v>
      </c>
      <c r="B95" s="2" t="s">
        <v>383</v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 t="s">
        <v>435</v>
      </c>
      <c r="B96" s="2" t="s">
        <v>436</v>
      </c>
      <c r="C96" s="2"/>
      <c r="D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 t="s">
        <v>441</v>
      </c>
      <c r="B97" s="2" t="s">
        <v>436</v>
      </c>
      <c r="C97" s="2"/>
      <c r="D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 t="s">
        <v>539</v>
      </c>
      <c r="B98" s="2" t="s">
        <v>436</v>
      </c>
      <c r="C98" s="2"/>
      <c r="D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 t="s">
        <v>542</v>
      </c>
      <c r="B99" s="2" t="s">
        <v>436</v>
      </c>
      <c r="C99" s="2"/>
      <c r="D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 t="s">
        <v>546</v>
      </c>
      <c r="B100" s="2" t="s">
        <v>256</v>
      </c>
      <c r="C100" s="2"/>
      <c r="D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 t="s">
        <v>549</v>
      </c>
      <c r="B101" s="2" t="s">
        <v>436</v>
      </c>
      <c r="C101" s="2"/>
      <c r="D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3" t="s">
        <v>2</v>
      </c>
      <c r="D1" s="4" t="s">
        <v>3</v>
      </c>
      <c r="E1" s="2"/>
      <c r="G1" s="3" t="s">
        <v>4</v>
      </c>
      <c r="H1" s="2"/>
    </row>
    <row r="2">
      <c r="A2" s="2" t="s">
        <v>5</v>
      </c>
      <c r="D2" s="2" t="s">
        <v>6</v>
      </c>
      <c r="E2" s="2" t="s">
        <v>7</v>
      </c>
      <c r="G2" s="2" t="s">
        <v>9</v>
      </c>
      <c r="H2" s="2" t="s">
        <v>11</v>
      </c>
    </row>
    <row r="3">
      <c r="A3" s="2" t="s">
        <v>12</v>
      </c>
      <c r="D3" s="2" t="s">
        <v>13</v>
      </c>
      <c r="E3" s="2" t="s">
        <v>14</v>
      </c>
      <c r="G3" s="2" t="s">
        <v>15</v>
      </c>
      <c r="H3" s="2" t="s">
        <v>16</v>
      </c>
    </row>
    <row r="4">
      <c r="A4" s="2" t="s">
        <v>18</v>
      </c>
      <c r="D4" s="2" t="s">
        <v>20</v>
      </c>
      <c r="E4" s="2" t="s">
        <v>21</v>
      </c>
      <c r="G4" s="2" t="s">
        <v>22</v>
      </c>
      <c r="H4" s="2" t="s">
        <v>23</v>
      </c>
    </row>
    <row r="5">
      <c r="A5" s="2" t="s">
        <v>24</v>
      </c>
      <c r="D5" s="2" t="s">
        <v>25</v>
      </c>
      <c r="E5" s="2" t="s">
        <v>26</v>
      </c>
      <c r="G5" s="2"/>
      <c r="H5" s="2"/>
    </row>
    <row r="6">
      <c r="A6" s="2" t="s">
        <v>27</v>
      </c>
      <c r="D6" s="2" t="s">
        <v>28</v>
      </c>
      <c r="E6" s="2" t="s">
        <v>29</v>
      </c>
    </row>
    <row r="7">
      <c r="A7" s="2" t="s">
        <v>31</v>
      </c>
      <c r="D7" s="2" t="s">
        <v>33</v>
      </c>
      <c r="E7" s="2" t="s">
        <v>35</v>
      </c>
    </row>
    <row r="8">
      <c r="A8" s="2" t="s">
        <v>38</v>
      </c>
      <c r="D8" s="2" t="s">
        <v>39</v>
      </c>
      <c r="E8" s="2" t="s">
        <v>40</v>
      </c>
    </row>
    <row r="9">
      <c r="A9" s="2" t="s">
        <v>42</v>
      </c>
      <c r="D9" s="2" t="s">
        <v>44</v>
      </c>
      <c r="E9" s="2" t="s">
        <v>46</v>
      </c>
    </row>
    <row r="10">
      <c r="A10" s="2" t="s">
        <v>49</v>
      </c>
      <c r="D10" s="2" t="s">
        <v>52</v>
      </c>
      <c r="E10" s="2" t="s">
        <v>54</v>
      </c>
    </row>
    <row r="11">
      <c r="A11" s="2" t="s">
        <v>56</v>
      </c>
      <c r="D11" s="2" t="s">
        <v>59</v>
      </c>
      <c r="E11" s="2" t="s">
        <v>60</v>
      </c>
    </row>
    <row r="12">
      <c r="A12" s="2" t="s">
        <v>64</v>
      </c>
      <c r="D12" s="2" t="s">
        <v>70</v>
      </c>
      <c r="E12" s="2" t="s">
        <v>72</v>
      </c>
    </row>
    <row r="13">
      <c r="A13" s="2" t="s">
        <v>76</v>
      </c>
      <c r="D13" s="2" t="s">
        <v>77</v>
      </c>
      <c r="E13" s="2" t="s">
        <v>79</v>
      </c>
    </row>
    <row r="14">
      <c r="A14" s="2" t="s">
        <v>81</v>
      </c>
      <c r="D14" s="2" t="s">
        <v>82</v>
      </c>
      <c r="E14" s="2" t="s">
        <v>83</v>
      </c>
    </row>
    <row r="15">
      <c r="A15" s="2" t="s">
        <v>86</v>
      </c>
      <c r="D15" s="2" t="s">
        <v>87</v>
      </c>
      <c r="E15" s="2" t="s">
        <v>88</v>
      </c>
    </row>
    <row r="16">
      <c r="A16" s="2" t="s">
        <v>90</v>
      </c>
      <c r="D16" s="2" t="s">
        <v>91</v>
      </c>
      <c r="E16" s="2" t="s">
        <v>92</v>
      </c>
    </row>
    <row r="17">
      <c r="A17" s="2" t="s">
        <v>95</v>
      </c>
      <c r="D17" s="2" t="s">
        <v>96</v>
      </c>
      <c r="E17" s="2" t="s">
        <v>99</v>
      </c>
    </row>
    <row r="18">
      <c r="A18" s="2" t="s">
        <v>103</v>
      </c>
      <c r="D18" s="2" t="s">
        <v>105</v>
      </c>
      <c r="E18" s="2" t="s">
        <v>108</v>
      </c>
    </row>
    <row r="19">
      <c r="A19" s="2" t="s">
        <v>111</v>
      </c>
    </row>
    <row r="20">
      <c r="A20" s="2" t="s">
        <v>114</v>
      </c>
      <c r="D20" s="3" t="s">
        <v>3</v>
      </c>
      <c r="E20" s="2"/>
    </row>
    <row r="21">
      <c r="A21" s="2" t="s">
        <v>117</v>
      </c>
      <c r="D21" s="2" t="s">
        <v>96</v>
      </c>
      <c r="E21" s="2" t="s">
        <v>120</v>
      </c>
    </row>
    <row r="22">
      <c r="A22" s="2" t="s">
        <v>122</v>
      </c>
      <c r="D22" s="2" t="s">
        <v>6</v>
      </c>
      <c r="E22" s="2" t="s">
        <v>124</v>
      </c>
    </row>
    <row r="23">
      <c r="A23" s="2" t="s">
        <v>127</v>
      </c>
      <c r="D23" s="2" t="s">
        <v>13</v>
      </c>
      <c r="E23" s="2" t="s">
        <v>130</v>
      </c>
    </row>
    <row r="24">
      <c r="A24" s="2" t="s">
        <v>132</v>
      </c>
      <c r="D24" s="2" t="s">
        <v>20</v>
      </c>
      <c r="E24" s="2" t="s">
        <v>21</v>
      </c>
    </row>
    <row r="25">
      <c r="A25" s="2" t="s">
        <v>135</v>
      </c>
      <c r="D25" s="2" t="s">
        <v>25</v>
      </c>
      <c r="E25" s="2" t="s">
        <v>139</v>
      </c>
    </row>
    <row r="26">
      <c r="A26" s="2" t="s">
        <v>142</v>
      </c>
      <c r="D26" s="2" t="s">
        <v>28</v>
      </c>
      <c r="E26" s="2" t="s">
        <v>29</v>
      </c>
    </row>
    <row r="27">
      <c r="A27" s="2" t="s">
        <v>144</v>
      </c>
      <c r="D27" s="2" t="s">
        <v>33</v>
      </c>
      <c r="E27" s="2" t="s">
        <v>35</v>
      </c>
    </row>
    <row r="28">
      <c r="A28" s="2" t="s">
        <v>146</v>
      </c>
      <c r="D28" s="2" t="s">
        <v>39</v>
      </c>
      <c r="E28" s="2" t="s">
        <v>40</v>
      </c>
    </row>
    <row r="29">
      <c r="A29" s="2" t="s">
        <v>151</v>
      </c>
      <c r="D29" s="2" t="s">
        <v>44</v>
      </c>
      <c r="E29" s="2" t="s">
        <v>46</v>
      </c>
    </row>
    <row r="30">
      <c r="A30" s="2" t="s">
        <v>157</v>
      </c>
      <c r="D30" s="2" t="s">
        <v>52</v>
      </c>
      <c r="E30" s="2" t="s">
        <v>54</v>
      </c>
    </row>
    <row r="31">
      <c r="A31" s="2" t="s">
        <v>159</v>
      </c>
      <c r="D31" s="2" t="s">
        <v>59</v>
      </c>
      <c r="E31" s="2" t="s">
        <v>60</v>
      </c>
    </row>
    <row r="32">
      <c r="A32" s="13" t="s">
        <v>161</v>
      </c>
      <c r="D32" s="2" t="s">
        <v>70</v>
      </c>
      <c r="E32" s="2" t="s">
        <v>72</v>
      </c>
    </row>
    <row r="33">
      <c r="A33" s="13" t="s">
        <v>165</v>
      </c>
      <c r="D33" s="2" t="s">
        <v>77</v>
      </c>
      <c r="E33" s="2" t="s">
        <v>168</v>
      </c>
    </row>
    <row r="34">
      <c r="A34" s="13" t="s">
        <v>171</v>
      </c>
      <c r="D34" s="2" t="s">
        <v>82</v>
      </c>
      <c r="E34" s="2" t="s">
        <v>83</v>
      </c>
    </row>
    <row r="35">
      <c r="A35" s="13" t="s">
        <v>173</v>
      </c>
      <c r="D35" s="2" t="s">
        <v>87</v>
      </c>
      <c r="E35" s="2" t="s">
        <v>88</v>
      </c>
    </row>
    <row r="36">
      <c r="D36" s="2" t="s">
        <v>91</v>
      </c>
      <c r="E36" s="2" t="s">
        <v>92</v>
      </c>
    </row>
    <row r="37">
      <c r="D37" s="2" t="s">
        <v>178</v>
      </c>
      <c r="E37" s="2" t="s">
        <v>181</v>
      </c>
    </row>
    <row r="38">
      <c r="D38" s="2" t="s">
        <v>183</v>
      </c>
      <c r="E38" s="2" t="s">
        <v>184</v>
      </c>
    </row>
    <row r="41">
      <c r="D41" s="3" t="s">
        <v>3</v>
      </c>
      <c r="E41" s="2"/>
    </row>
    <row r="42">
      <c r="D42" s="2" t="s">
        <v>96</v>
      </c>
      <c r="E42" s="2" t="s">
        <v>190</v>
      </c>
    </row>
    <row r="43">
      <c r="D43" s="2" t="s">
        <v>6</v>
      </c>
      <c r="E43" s="2" t="s">
        <v>124</v>
      </c>
    </row>
    <row r="44">
      <c r="D44" s="2" t="s">
        <v>13</v>
      </c>
      <c r="E44" s="2" t="s">
        <v>130</v>
      </c>
    </row>
    <row r="45">
      <c r="D45" s="2" t="s">
        <v>20</v>
      </c>
      <c r="E45" s="2" t="s">
        <v>21</v>
      </c>
    </row>
    <row r="46">
      <c r="D46" s="2" t="s">
        <v>25</v>
      </c>
      <c r="E46" s="2" t="s">
        <v>139</v>
      </c>
    </row>
    <row r="47">
      <c r="D47" s="2" t="s">
        <v>28</v>
      </c>
      <c r="E47" s="2" t="s">
        <v>29</v>
      </c>
    </row>
    <row r="48">
      <c r="D48" s="2" t="s">
        <v>33</v>
      </c>
      <c r="E48" s="2" t="s">
        <v>35</v>
      </c>
    </row>
    <row r="49">
      <c r="D49" s="2" t="s">
        <v>39</v>
      </c>
      <c r="E49" s="2" t="s">
        <v>40</v>
      </c>
    </row>
    <row r="50">
      <c r="D50" s="2" t="s">
        <v>44</v>
      </c>
      <c r="E50" s="2" t="s">
        <v>46</v>
      </c>
    </row>
    <row r="51">
      <c r="D51" s="2" t="s">
        <v>52</v>
      </c>
      <c r="E51" s="2" t="s">
        <v>54</v>
      </c>
    </row>
    <row r="52">
      <c r="D52" s="2" t="s">
        <v>59</v>
      </c>
      <c r="E52" s="2" t="s">
        <v>60</v>
      </c>
    </row>
    <row r="53">
      <c r="D53" s="2" t="s">
        <v>70</v>
      </c>
      <c r="E53" s="2" t="s">
        <v>72</v>
      </c>
    </row>
    <row r="54">
      <c r="D54" s="2" t="s">
        <v>77</v>
      </c>
      <c r="E54" s="2" t="s">
        <v>168</v>
      </c>
    </row>
    <row r="55">
      <c r="D55" s="2" t="s">
        <v>82</v>
      </c>
      <c r="E55" s="2" t="s">
        <v>83</v>
      </c>
    </row>
    <row r="56">
      <c r="D56" s="2" t="s">
        <v>87</v>
      </c>
      <c r="E56" s="2" t="s">
        <v>88</v>
      </c>
    </row>
    <row r="57">
      <c r="D57" s="2" t="s">
        <v>91</v>
      </c>
      <c r="E57" s="2" t="s">
        <v>92</v>
      </c>
    </row>
    <row r="58">
      <c r="D58" s="2" t="s">
        <v>178</v>
      </c>
      <c r="E58" s="2" t="s">
        <v>181</v>
      </c>
    </row>
    <row r="59">
      <c r="D59" s="2" t="s">
        <v>183</v>
      </c>
      <c r="E59" s="2" t="s">
        <v>184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5.67"/>
    <col customWidth="1" min="2" max="2" width="8.44"/>
    <col customWidth="1" min="3" max="3" width="7.67"/>
    <col customWidth="1" min="4" max="4" width="3.56"/>
    <col customWidth="1" min="5" max="6" width="10.78"/>
    <col customWidth="1" min="7" max="7" width="16.89"/>
    <col customWidth="1" min="8" max="11" width="11.0"/>
    <col customWidth="1" min="12" max="17" width="12.11"/>
    <col customWidth="1" min="18" max="18" width="18.33"/>
    <col customWidth="1" min="19" max="19" width="15.56"/>
    <col customWidth="1" min="20" max="23" width="12.11"/>
    <col customWidth="1" min="24" max="36" width="12.0"/>
    <col customWidth="1" min="37" max="37" width="60.89"/>
    <col customWidth="1" min="38" max="42" width="10.56"/>
  </cols>
  <sheetData>
    <row r="1" ht="15.75" customHeight="1">
      <c r="A1" s="5" t="s">
        <v>34</v>
      </c>
      <c r="B1" s="5" t="s">
        <v>51</v>
      </c>
      <c r="C1" s="5" t="s">
        <v>55</v>
      </c>
      <c r="D1" s="5" t="s">
        <v>57</v>
      </c>
      <c r="E1" s="5" t="s">
        <v>61</v>
      </c>
      <c r="F1" s="5" t="s">
        <v>66</v>
      </c>
      <c r="G1" s="5" t="s">
        <v>58</v>
      </c>
      <c r="H1" s="5" t="s">
        <v>71</v>
      </c>
      <c r="I1" s="5" t="s">
        <v>74</v>
      </c>
      <c r="J1" s="5" t="s">
        <v>53</v>
      </c>
      <c r="K1" s="5" t="s">
        <v>62</v>
      </c>
      <c r="L1" s="5" t="s">
        <v>67</v>
      </c>
      <c r="M1" s="5" t="s">
        <v>69</v>
      </c>
      <c r="N1" s="5" t="s">
        <v>43</v>
      </c>
      <c r="O1" s="5" t="s">
        <v>48</v>
      </c>
      <c r="P1" s="5" t="s">
        <v>94</v>
      </c>
      <c r="Q1" s="5" t="s">
        <v>98</v>
      </c>
      <c r="R1" s="5" t="s">
        <v>102</v>
      </c>
      <c r="S1" s="5" t="s">
        <v>106</v>
      </c>
      <c r="T1" s="5" t="s">
        <v>109</v>
      </c>
      <c r="U1" s="5" t="s">
        <v>113</v>
      </c>
      <c r="V1" s="5" t="s">
        <v>116</v>
      </c>
      <c r="W1" s="5" t="s">
        <v>118</v>
      </c>
      <c r="X1" s="5" t="s">
        <v>121</v>
      </c>
      <c r="Y1" s="5" t="s">
        <v>91</v>
      </c>
      <c r="Z1" s="5" t="s">
        <v>52</v>
      </c>
      <c r="AA1" s="5" t="s">
        <v>70</v>
      </c>
      <c r="AB1" s="5" t="s">
        <v>129</v>
      </c>
      <c r="AC1" s="5" t="s">
        <v>131</v>
      </c>
      <c r="AD1" s="5" t="s">
        <v>133</v>
      </c>
      <c r="AE1" s="5" t="s">
        <v>137</v>
      </c>
      <c r="AF1" s="5" t="s">
        <v>140</v>
      </c>
      <c r="AG1" s="5" t="s">
        <v>143</v>
      </c>
      <c r="AH1" s="5" t="s">
        <v>145</v>
      </c>
      <c r="AI1" s="9" t="s">
        <v>148</v>
      </c>
      <c r="AJ1" s="5" t="s">
        <v>152</v>
      </c>
      <c r="AK1" s="10" t="s">
        <v>125</v>
      </c>
      <c r="AL1" s="12"/>
      <c r="AM1" s="12"/>
      <c r="AN1" s="12"/>
      <c r="AO1" s="12"/>
      <c r="AP1" s="12"/>
    </row>
    <row r="2" ht="15.75" hidden="1" customHeight="1">
      <c r="A2" s="16" t="s">
        <v>167</v>
      </c>
      <c r="B2" s="16">
        <v>2014.0</v>
      </c>
      <c r="C2" s="16" t="s">
        <v>147</v>
      </c>
      <c r="D2" s="16">
        <v>23.0</v>
      </c>
      <c r="E2" s="16" t="s">
        <v>176</v>
      </c>
      <c r="F2" s="16" t="s">
        <v>180</v>
      </c>
      <c r="G2" s="16" t="s">
        <v>182</v>
      </c>
      <c r="H2" s="16"/>
      <c r="I2" s="16"/>
      <c r="J2" s="16"/>
      <c r="K2" s="16">
        <v>17.64614</v>
      </c>
      <c r="L2" s="16">
        <v>-63.26499</v>
      </c>
      <c r="M2" s="19">
        <v>28.0</v>
      </c>
      <c r="N2" s="21" t="s">
        <v>188</v>
      </c>
      <c r="O2" s="16" t="s">
        <v>192</v>
      </c>
      <c r="P2" s="21">
        <v>0.5416666666666666</v>
      </c>
      <c r="Q2" s="16" t="s">
        <v>193</v>
      </c>
      <c r="R2" s="22" t="s">
        <v>194</v>
      </c>
      <c r="S2" s="16" t="s">
        <v>197</v>
      </c>
      <c r="T2" s="16" t="s">
        <v>198</v>
      </c>
      <c r="U2" s="16">
        <v>150.0</v>
      </c>
      <c r="V2" s="23" t="s">
        <v>199</v>
      </c>
      <c r="W2" s="23" t="s">
        <v>199</v>
      </c>
      <c r="X2" s="23" t="s">
        <v>199</v>
      </c>
      <c r="Y2" s="23">
        <v>0.0</v>
      </c>
      <c r="Z2" s="23">
        <v>0.0</v>
      </c>
      <c r="AA2" s="23" t="s">
        <v>199</v>
      </c>
      <c r="AB2" s="23" t="s">
        <v>199</v>
      </c>
      <c r="AC2" s="16">
        <v>590.0</v>
      </c>
      <c r="AD2" s="23" t="s">
        <v>199</v>
      </c>
      <c r="AE2" s="23" t="s">
        <v>199</v>
      </c>
      <c r="AF2" s="23" t="s">
        <v>199</v>
      </c>
      <c r="AG2" s="23" t="s">
        <v>199</v>
      </c>
      <c r="AH2" s="23">
        <v>0.0</v>
      </c>
      <c r="AI2" s="23" t="s">
        <v>199</v>
      </c>
      <c r="AJ2" s="23">
        <v>0.0</v>
      </c>
      <c r="AK2" s="24"/>
      <c r="AL2" s="25"/>
      <c r="AM2" s="25"/>
      <c r="AN2" s="25"/>
      <c r="AO2" s="25"/>
      <c r="AP2" s="25"/>
    </row>
    <row r="3" ht="15.75" hidden="1" customHeight="1">
      <c r="A3" s="26" t="s">
        <v>167</v>
      </c>
      <c r="B3" s="26">
        <v>2014.0</v>
      </c>
      <c r="C3" s="26" t="s">
        <v>147</v>
      </c>
      <c r="D3" s="26">
        <v>23.0</v>
      </c>
      <c r="E3" s="26" t="s">
        <v>176</v>
      </c>
      <c r="F3" s="26" t="s">
        <v>214</v>
      </c>
      <c r="G3" s="26" t="s">
        <v>182</v>
      </c>
      <c r="H3" s="26"/>
      <c r="I3" s="26"/>
      <c r="J3" s="26"/>
      <c r="K3" s="26">
        <v>17.64614</v>
      </c>
      <c r="L3" s="26">
        <v>-63.26499</v>
      </c>
      <c r="M3" s="27">
        <v>28.0</v>
      </c>
      <c r="N3" s="28" t="s">
        <v>188</v>
      </c>
      <c r="O3" s="26" t="s">
        <v>192</v>
      </c>
      <c r="P3" s="28">
        <v>0.5694444444444444</v>
      </c>
      <c r="Q3" s="26" t="s">
        <v>193</v>
      </c>
      <c r="R3" s="29" t="s">
        <v>194</v>
      </c>
      <c r="S3" s="26" t="s">
        <v>197</v>
      </c>
      <c r="T3" s="26" t="s">
        <v>221</v>
      </c>
      <c r="U3" s="26">
        <v>184.0</v>
      </c>
      <c r="V3" s="30" t="s">
        <v>199</v>
      </c>
      <c r="W3" s="30" t="s">
        <v>199</v>
      </c>
      <c r="X3" s="30" t="s">
        <v>199</v>
      </c>
      <c r="Y3" s="30">
        <v>0.0</v>
      </c>
      <c r="Z3" s="30">
        <v>0.0</v>
      </c>
      <c r="AA3" s="30" t="s">
        <v>199</v>
      </c>
      <c r="AB3" s="30" t="s">
        <v>199</v>
      </c>
      <c r="AC3" s="26">
        <v>591.0</v>
      </c>
      <c r="AD3" s="30" t="s">
        <v>199</v>
      </c>
      <c r="AE3" s="30" t="s">
        <v>199</v>
      </c>
      <c r="AF3" s="30" t="s">
        <v>199</v>
      </c>
      <c r="AG3" s="30" t="s">
        <v>199</v>
      </c>
      <c r="AH3" s="30">
        <v>0.0</v>
      </c>
      <c r="AI3" s="30" t="s">
        <v>199</v>
      </c>
      <c r="AJ3" s="30">
        <v>0.0</v>
      </c>
      <c r="AK3" s="32"/>
      <c r="AL3" s="25"/>
      <c r="AM3" s="25"/>
      <c r="AN3" s="25"/>
      <c r="AO3" s="25"/>
      <c r="AP3" s="25"/>
    </row>
    <row r="4" ht="15.75" hidden="1" customHeight="1">
      <c r="A4" s="16" t="s">
        <v>167</v>
      </c>
      <c r="B4" s="16">
        <v>2014.0</v>
      </c>
      <c r="C4" s="16" t="s">
        <v>147</v>
      </c>
      <c r="D4" s="16">
        <v>24.0</v>
      </c>
      <c r="E4" s="16" t="s">
        <v>176</v>
      </c>
      <c r="F4" s="16" t="s">
        <v>229</v>
      </c>
      <c r="G4" s="16" t="s">
        <v>182</v>
      </c>
      <c r="H4" s="16"/>
      <c r="I4" s="16"/>
      <c r="J4" s="16"/>
      <c r="K4" s="16">
        <v>17.63205</v>
      </c>
      <c r="L4" s="16">
        <v>-63.2743</v>
      </c>
      <c r="M4" s="19">
        <v>28.0</v>
      </c>
      <c r="N4" s="21" t="s">
        <v>188</v>
      </c>
      <c r="O4" s="21" t="s">
        <v>232</v>
      </c>
      <c r="P4" s="21">
        <v>0.3958333333333333</v>
      </c>
      <c r="Q4" s="16" t="s">
        <v>193</v>
      </c>
      <c r="R4" s="22" t="s">
        <v>194</v>
      </c>
      <c r="S4" s="16" t="s">
        <v>197</v>
      </c>
      <c r="T4" s="16" t="s">
        <v>221</v>
      </c>
      <c r="U4" s="16">
        <v>180.0</v>
      </c>
      <c r="V4" s="23" t="s">
        <v>199</v>
      </c>
      <c r="W4" s="23" t="s">
        <v>199</v>
      </c>
      <c r="X4" s="23" t="s">
        <v>199</v>
      </c>
      <c r="Y4" s="23">
        <v>0.0</v>
      </c>
      <c r="Z4" s="23">
        <v>0.0</v>
      </c>
      <c r="AA4" s="23" t="s">
        <v>199</v>
      </c>
      <c r="AB4" s="23" t="s">
        <v>199</v>
      </c>
      <c r="AC4" s="16">
        <v>592.0</v>
      </c>
      <c r="AD4" s="23" t="s">
        <v>199</v>
      </c>
      <c r="AE4" s="23" t="s">
        <v>199</v>
      </c>
      <c r="AF4" s="23" t="s">
        <v>199</v>
      </c>
      <c r="AG4" s="23" t="s">
        <v>199</v>
      </c>
      <c r="AH4" s="23">
        <v>0.0</v>
      </c>
      <c r="AI4" s="23" t="s">
        <v>199</v>
      </c>
      <c r="AJ4" s="23">
        <v>0.0</v>
      </c>
      <c r="AK4" s="24"/>
      <c r="AL4" s="25"/>
      <c r="AM4" s="25"/>
      <c r="AN4" s="25"/>
      <c r="AO4" s="25"/>
      <c r="AP4" s="25"/>
    </row>
    <row r="5" ht="15.75" hidden="1" customHeight="1">
      <c r="A5" s="26" t="s">
        <v>167</v>
      </c>
      <c r="B5" s="26">
        <v>2014.0</v>
      </c>
      <c r="C5" s="26" t="s">
        <v>147</v>
      </c>
      <c r="D5" s="26">
        <v>24.0</v>
      </c>
      <c r="E5" s="26" t="s">
        <v>176</v>
      </c>
      <c r="F5" s="26" t="s">
        <v>239</v>
      </c>
      <c r="G5" s="26" t="s">
        <v>182</v>
      </c>
      <c r="H5" s="26"/>
      <c r="I5" s="26"/>
      <c r="J5" s="26"/>
      <c r="K5" s="26">
        <v>17.6328</v>
      </c>
      <c r="L5" s="26">
        <v>-63.27462</v>
      </c>
      <c r="M5" s="27">
        <v>29.0</v>
      </c>
      <c r="N5" s="28" t="s">
        <v>188</v>
      </c>
      <c r="O5" s="26" t="s">
        <v>241</v>
      </c>
      <c r="P5" s="28">
        <v>0.5243055555555556</v>
      </c>
      <c r="Q5" s="26" t="s">
        <v>242</v>
      </c>
      <c r="R5" s="29" t="s">
        <v>194</v>
      </c>
      <c r="S5" s="26" t="s">
        <v>197</v>
      </c>
      <c r="T5" s="26" t="s">
        <v>221</v>
      </c>
      <c r="U5" s="26">
        <v>131.0</v>
      </c>
      <c r="V5" s="30" t="s">
        <v>199</v>
      </c>
      <c r="W5" s="30" t="s">
        <v>199</v>
      </c>
      <c r="X5" s="30" t="s">
        <v>199</v>
      </c>
      <c r="Y5" s="30">
        <v>0.0</v>
      </c>
      <c r="Z5" s="30">
        <v>0.0</v>
      </c>
      <c r="AA5" s="30" t="s">
        <v>199</v>
      </c>
      <c r="AB5" s="30" t="s">
        <v>199</v>
      </c>
      <c r="AC5" s="26">
        <v>593.0</v>
      </c>
      <c r="AD5" s="30" t="s">
        <v>199</v>
      </c>
      <c r="AE5" s="30" t="s">
        <v>199</v>
      </c>
      <c r="AF5" s="30" t="s">
        <v>199</v>
      </c>
      <c r="AG5" s="30" t="s">
        <v>199</v>
      </c>
      <c r="AH5" s="30">
        <v>0.0</v>
      </c>
      <c r="AI5" s="30" t="s">
        <v>199</v>
      </c>
      <c r="AJ5" s="30">
        <v>0.0</v>
      </c>
      <c r="AK5" s="32"/>
      <c r="AL5" s="25"/>
      <c r="AM5" s="25"/>
      <c r="AN5" s="25"/>
      <c r="AO5" s="25"/>
      <c r="AP5" s="25"/>
    </row>
    <row r="6" ht="15.75" hidden="1" customHeight="1">
      <c r="A6" s="16" t="s">
        <v>167</v>
      </c>
      <c r="B6" s="16">
        <v>2014.0</v>
      </c>
      <c r="C6" s="16" t="s">
        <v>147</v>
      </c>
      <c r="D6" s="16">
        <v>24.0</v>
      </c>
      <c r="E6" s="16" t="s">
        <v>176</v>
      </c>
      <c r="F6" s="16" t="s">
        <v>251</v>
      </c>
      <c r="G6" s="16" t="s">
        <v>182</v>
      </c>
      <c r="H6" s="16"/>
      <c r="I6" s="16"/>
      <c r="J6" s="16"/>
      <c r="K6" s="16">
        <v>17.6328</v>
      </c>
      <c r="L6" s="16">
        <v>-63.27462</v>
      </c>
      <c r="M6" s="19">
        <v>29.0</v>
      </c>
      <c r="N6" s="21" t="s">
        <v>188</v>
      </c>
      <c r="O6" s="16" t="s">
        <v>241</v>
      </c>
      <c r="P6" s="21">
        <v>0.5347222222222222</v>
      </c>
      <c r="Q6" s="16" t="s">
        <v>242</v>
      </c>
      <c r="R6" s="22" t="s">
        <v>194</v>
      </c>
      <c r="S6" s="16" t="s">
        <v>197</v>
      </c>
      <c r="T6" s="16" t="s">
        <v>198</v>
      </c>
      <c r="U6" s="16">
        <v>115.0</v>
      </c>
      <c r="V6" s="23" t="s">
        <v>199</v>
      </c>
      <c r="W6" s="23" t="s">
        <v>199</v>
      </c>
      <c r="X6" s="23" t="s">
        <v>199</v>
      </c>
      <c r="Y6" s="23">
        <v>0.0</v>
      </c>
      <c r="Z6" s="23">
        <v>0.0</v>
      </c>
      <c r="AA6" s="23" t="s">
        <v>199</v>
      </c>
      <c r="AB6" s="23" t="s">
        <v>199</v>
      </c>
      <c r="AC6" s="16">
        <v>594.0</v>
      </c>
      <c r="AD6" s="23" t="s">
        <v>199</v>
      </c>
      <c r="AE6" s="23" t="s">
        <v>199</v>
      </c>
      <c r="AF6" s="23" t="s">
        <v>199</v>
      </c>
      <c r="AG6" s="23" t="s">
        <v>199</v>
      </c>
      <c r="AH6" s="23">
        <v>0.0</v>
      </c>
      <c r="AI6" s="23" t="s">
        <v>199</v>
      </c>
      <c r="AJ6" s="23">
        <v>0.0</v>
      </c>
      <c r="AK6" s="24"/>
      <c r="AL6" s="25"/>
      <c r="AM6" s="25"/>
      <c r="AN6" s="25"/>
      <c r="AO6" s="25"/>
      <c r="AP6" s="25"/>
    </row>
    <row r="7" ht="15.75" hidden="1" customHeight="1">
      <c r="A7" s="26" t="s">
        <v>167</v>
      </c>
      <c r="B7" s="26">
        <v>2014.0</v>
      </c>
      <c r="C7" s="26" t="s">
        <v>147</v>
      </c>
      <c r="D7" s="26">
        <v>24.0</v>
      </c>
      <c r="E7" s="26" t="s">
        <v>176</v>
      </c>
      <c r="F7" s="26" t="s">
        <v>260</v>
      </c>
      <c r="G7" s="26" t="s">
        <v>182</v>
      </c>
      <c r="H7" s="26"/>
      <c r="I7" s="26"/>
      <c r="J7" s="26"/>
      <c r="K7" s="26">
        <v>17.6328</v>
      </c>
      <c r="L7" s="26">
        <v>-63.27462</v>
      </c>
      <c r="M7" s="27">
        <v>29.0</v>
      </c>
      <c r="N7" s="28" t="s">
        <v>188</v>
      </c>
      <c r="O7" s="26" t="s">
        <v>241</v>
      </c>
      <c r="P7" s="28">
        <v>0.5729166666666666</v>
      </c>
      <c r="Q7" s="26" t="s">
        <v>242</v>
      </c>
      <c r="R7" s="29" t="s">
        <v>194</v>
      </c>
      <c r="S7" s="26" t="s">
        <v>197</v>
      </c>
      <c r="T7" s="26" t="s">
        <v>221</v>
      </c>
      <c r="U7" s="26">
        <v>125.0</v>
      </c>
      <c r="V7" s="30" t="s">
        <v>199</v>
      </c>
      <c r="W7" s="30" t="s">
        <v>199</v>
      </c>
      <c r="X7" s="30" t="s">
        <v>199</v>
      </c>
      <c r="Y7" s="30">
        <v>0.0</v>
      </c>
      <c r="Z7" s="30">
        <v>0.0</v>
      </c>
      <c r="AA7" s="30" t="s">
        <v>199</v>
      </c>
      <c r="AB7" s="30" t="s">
        <v>199</v>
      </c>
      <c r="AC7" s="26">
        <v>595.0</v>
      </c>
      <c r="AD7" s="30" t="s">
        <v>199</v>
      </c>
      <c r="AE7" s="30" t="s">
        <v>199</v>
      </c>
      <c r="AF7" s="30" t="s">
        <v>199</v>
      </c>
      <c r="AG7" s="30" t="s">
        <v>199</v>
      </c>
      <c r="AH7" s="30">
        <v>0.0</v>
      </c>
      <c r="AI7" s="30" t="s">
        <v>199</v>
      </c>
      <c r="AJ7" s="30">
        <v>0.0</v>
      </c>
      <c r="AK7" s="32"/>
      <c r="AL7" s="25"/>
      <c r="AM7" s="25"/>
      <c r="AN7" s="25"/>
      <c r="AO7" s="25"/>
      <c r="AP7" s="25"/>
    </row>
    <row r="8" ht="15.75" hidden="1" customHeight="1">
      <c r="A8" s="16" t="s">
        <v>167</v>
      </c>
      <c r="B8" s="16">
        <v>2014.0</v>
      </c>
      <c r="C8" s="16" t="s">
        <v>147</v>
      </c>
      <c r="D8" s="16">
        <v>25.0</v>
      </c>
      <c r="E8" s="16" t="s">
        <v>176</v>
      </c>
      <c r="F8" s="16" t="s">
        <v>270</v>
      </c>
      <c r="G8" s="16" t="s">
        <v>272</v>
      </c>
      <c r="H8" s="16"/>
      <c r="I8" s="16"/>
      <c r="J8" s="16"/>
      <c r="K8" s="16">
        <v>17.64888</v>
      </c>
      <c r="L8" s="16">
        <v>-63.2311</v>
      </c>
      <c r="M8" s="19">
        <v>16.0</v>
      </c>
      <c r="N8" s="21" t="s">
        <v>188</v>
      </c>
      <c r="O8" s="16" t="s">
        <v>275</v>
      </c>
      <c r="P8" s="21">
        <v>0.5104166666666666</v>
      </c>
      <c r="Q8" s="16" t="s">
        <v>277</v>
      </c>
      <c r="R8" s="22" t="s">
        <v>194</v>
      </c>
      <c r="S8" s="16" t="s">
        <v>197</v>
      </c>
      <c r="T8" s="16" t="s">
        <v>198</v>
      </c>
      <c r="U8" s="16">
        <v>178.0</v>
      </c>
      <c r="V8" s="23" t="s">
        <v>199</v>
      </c>
      <c r="W8" s="23" t="s">
        <v>199</v>
      </c>
      <c r="X8" s="23" t="s">
        <v>199</v>
      </c>
      <c r="Y8" s="23">
        <v>0.0</v>
      </c>
      <c r="Z8" s="23">
        <v>0.0</v>
      </c>
      <c r="AA8" s="23" t="s">
        <v>199</v>
      </c>
      <c r="AB8" s="23" t="s">
        <v>199</v>
      </c>
      <c r="AC8" s="16">
        <v>596.0</v>
      </c>
      <c r="AD8" s="23" t="s">
        <v>199</v>
      </c>
      <c r="AE8" s="23" t="s">
        <v>199</v>
      </c>
      <c r="AF8" s="23" t="s">
        <v>199</v>
      </c>
      <c r="AG8" s="23" t="s">
        <v>199</v>
      </c>
      <c r="AH8" s="23">
        <v>0.0</v>
      </c>
      <c r="AI8" s="23" t="s">
        <v>199</v>
      </c>
      <c r="AJ8" s="23">
        <v>0.0</v>
      </c>
      <c r="AK8" s="24"/>
      <c r="AL8" s="25"/>
      <c r="AM8" s="25"/>
      <c r="AN8" s="25"/>
      <c r="AO8" s="25"/>
      <c r="AP8" s="25"/>
    </row>
    <row r="9" ht="15.75" hidden="1" customHeight="1">
      <c r="A9" s="26" t="s">
        <v>167</v>
      </c>
      <c r="B9" s="26">
        <v>2014.0</v>
      </c>
      <c r="C9" s="26" t="s">
        <v>147</v>
      </c>
      <c r="D9" s="26">
        <v>25.0</v>
      </c>
      <c r="E9" s="26" t="s">
        <v>176</v>
      </c>
      <c r="F9" s="26" t="s">
        <v>284</v>
      </c>
      <c r="G9" s="26" t="s">
        <v>272</v>
      </c>
      <c r="H9" s="26"/>
      <c r="I9" s="26"/>
      <c r="J9" s="26"/>
      <c r="K9" s="26">
        <v>17.64888</v>
      </c>
      <c r="L9" s="26">
        <v>-63.2311</v>
      </c>
      <c r="M9" s="27">
        <v>16.0</v>
      </c>
      <c r="N9" s="28" t="s">
        <v>188</v>
      </c>
      <c r="O9" s="26" t="s">
        <v>275</v>
      </c>
      <c r="P9" s="28">
        <v>0.5104166666666666</v>
      </c>
      <c r="Q9" s="26" t="s">
        <v>277</v>
      </c>
      <c r="R9" s="26" t="s">
        <v>288</v>
      </c>
      <c r="S9" s="26" t="s">
        <v>23</v>
      </c>
      <c r="T9" s="26" t="s">
        <v>221</v>
      </c>
      <c r="U9" s="26">
        <v>210.0</v>
      </c>
      <c r="V9" s="30" t="s">
        <v>199</v>
      </c>
      <c r="W9" s="30" t="s">
        <v>199</v>
      </c>
      <c r="X9" s="30" t="s">
        <v>199</v>
      </c>
      <c r="Y9" s="30">
        <v>0.0</v>
      </c>
      <c r="Z9" s="30">
        <v>0.0</v>
      </c>
      <c r="AA9" s="30" t="s">
        <v>199</v>
      </c>
      <c r="AB9" s="30" t="s">
        <v>199</v>
      </c>
      <c r="AC9" s="26">
        <v>600.0</v>
      </c>
      <c r="AD9" s="30" t="s">
        <v>199</v>
      </c>
      <c r="AE9" s="30" t="s">
        <v>199</v>
      </c>
      <c r="AF9" s="30" t="s">
        <v>199</v>
      </c>
      <c r="AG9" s="30" t="s">
        <v>199</v>
      </c>
      <c r="AH9" s="30">
        <v>0.0</v>
      </c>
      <c r="AI9" s="30" t="s">
        <v>199</v>
      </c>
      <c r="AJ9" s="30">
        <v>0.0</v>
      </c>
      <c r="AK9" s="32"/>
      <c r="AL9" s="25"/>
      <c r="AM9" s="25"/>
      <c r="AN9" s="25"/>
      <c r="AO9" s="25"/>
      <c r="AP9" s="25"/>
    </row>
    <row r="10" ht="15.75" hidden="1" customHeight="1">
      <c r="A10" s="16" t="s">
        <v>167</v>
      </c>
      <c r="B10" s="16">
        <v>2014.0</v>
      </c>
      <c r="C10" s="16" t="s">
        <v>147</v>
      </c>
      <c r="D10" s="16">
        <v>26.0</v>
      </c>
      <c r="E10" s="16" t="s">
        <v>176</v>
      </c>
      <c r="F10" s="16" t="s">
        <v>299</v>
      </c>
      <c r="G10" s="16" t="s">
        <v>300</v>
      </c>
      <c r="H10" s="16"/>
      <c r="I10" s="16"/>
      <c r="J10" s="16"/>
      <c r="K10" s="16">
        <v>17.61771</v>
      </c>
      <c r="L10" s="16">
        <v>-63.22617</v>
      </c>
      <c r="M10" s="19">
        <v>40.0</v>
      </c>
      <c r="N10" s="21" t="s">
        <v>188</v>
      </c>
      <c r="O10" s="16" t="s">
        <v>304</v>
      </c>
      <c r="P10" s="21">
        <v>0.7083333333333334</v>
      </c>
      <c r="Q10" s="16" t="s">
        <v>305</v>
      </c>
      <c r="R10" s="22" t="s">
        <v>194</v>
      </c>
      <c r="S10" s="16" t="s">
        <v>197</v>
      </c>
      <c r="T10" s="16" t="s">
        <v>198</v>
      </c>
      <c r="U10" s="16">
        <v>163.0</v>
      </c>
      <c r="V10" s="23" t="s">
        <v>199</v>
      </c>
      <c r="W10" s="23" t="s">
        <v>199</v>
      </c>
      <c r="X10" s="23" t="s">
        <v>199</v>
      </c>
      <c r="Y10" s="23">
        <v>0.0</v>
      </c>
      <c r="Z10" s="23">
        <v>0.0</v>
      </c>
      <c r="AA10" s="23" t="s">
        <v>199</v>
      </c>
      <c r="AB10" s="23" t="s">
        <v>199</v>
      </c>
      <c r="AC10" s="16">
        <v>597.0</v>
      </c>
      <c r="AD10" s="23" t="s">
        <v>199</v>
      </c>
      <c r="AE10" s="23" t="s">
        <v>199</v>
      </c>
      <c r="AF10" s="23" t="s">
        <v>199</v>
      </c>
      <c r="AG10" s="23" t="s">
        <v>199</v>
      </c>
      <c r="AH10" s="23">
        <v>0.0</v>
      </c>
      <c r="AI10" s="23" t="s">
        <v>199</v>
      </c>
      <c r="AJ10" s="23">
        <v>0.0</v>
      </c>
      <c r="AK10" s="24"/>
      <c r="AL10" s="25"/>
      <c r="AM10" s="25"/>
      <c r="AN10" s="25"/>
      <c r="AO10" s="25"/>
      <c r="AP10" s="25"/>
    </row>
    <row r="11" ht="15.75" hidden="1" customHeight="1">
      <c r="A11" s="26" t="s">
        <v>167</v>
      </c>
      <c r="B11" s="26">
        <v>2014.0</v>
      </c>
      <c r="C11" s="26" t="s">
        <v>147</v>
      </c>
      <c r="D11" s="26">
        <v>28.0</v>
      </c>
      <c r="E11" s="26" t="s">
        <v>176</v>
      </c>
      <c r="F11" s="26" t="s">
        <v>315</v>
      </c>
      <c r="G11" s="26" t="s">
        <v>272</v>
      </c>
      <c r="H11" s="26"/>
      <c r="I11" s="26"/>
      <c r="J11" s="26"/>
      <c r="K11" s="26">
        <v>17.61252</v>
      </c>
      <c r="L11" s="26">
        <v>-63.23623</v>
      </c>
      <c r="M11" s="27">
        <v>16.0</v>
      </c>
      <c r="N11" s="28" t="s">
        <v>188</v>
      </c>
      <c r="O11" s="26" t="s">
        <v>317</v>
      </c>
      <c r="P11" s="28">
        <v>0.8576388888888888</v>
      </c>
      <c r="Q11" s="26" t="s">
        <v>321</v>
      </c>
      <c r="R11" s="26" t="s">
        <v>288</v>
      </c>
      <c r="S11" s="26" t="s">
        <v>23</v>
      </c>
      <c r="T11" s="26" t="s">
        <v>198</v>
      </c>
      <c r="U11" s="26">
        <v>104.0</v>
      </c>
      <c r="V11" s="30" t="s">
        <v>199</v>
      </c>
      <c r="W11" s="30" t="s">
        <v>199</v>
      </c>
      <c r="X11" s="30" t="s">
        <v>199</v>
      </c>
      <c r="Y11" s="30">
        <v>0.0</v>
      </c>
      <c r="Z11" s="30">
        <v>0.0</v>
      </c>
      <c r="AA11" s="30" t="s">
        <v>199</v>
      </c>
      <c r="AB11" s="30" t="s">
        <v>199</v>
      </c>
      <c r="AC11" s="26">
        <v>601.0</v>
      </c>
      <c r="AD11" s="30" t="s">
        <v>199</v>
      </c>
      <c r="AE11" s="30" t="s">
        <v>199</v>
      </c>
      <c r="AF11" s="30" t="s">
        <v>199</v>
      </c>
      <c r="AG11" s="30" t="s">
        <v>199</v>
      </c>
      <c r="AH11" s="30">
        <v>0.0</v>
      </c>
      <c r="AI11" s="30" t="s">
        <v>199</v>
      </c>
      <c r="AJ11" s="30">
        <v>0.0</v>
      </c>
      <c r="AK11" s="32"/>
      <c r="AL11" s="25"/>
      <c r="AM11" s="25"/>
      <c r="AN11" s="25"/>
      <c r="AO11" s="25"/>
      <c r="AP11" s="25"/>
    </row>
    <row r="12" ht="15.75" hidden="1" customHeight="1">
      <c r="A12" s="16" t="s">
        <v>167</v>
      </c>
      <c r="B12" s="16">
        <v>2014.0</v>
      </c>
      <c r="C12" s="16" t="s">
        <v>147</v>
      </c>
      <c r="D12" s="16">
        <v>29.0</v>
      </c>
      <c r="E12" s="16" t="s">
        <v>176</v>
      </c>
      <c r="F12" s="16" t="s">
        <v>328</v>
      </c>
      <c r="G12" s="16" t="s">
        <v>329</v>
      </c>
      <c r="H12" s="16"/>
      <c r="I12" s="16"/>
      <c r="J12" s="16"/>
      <c r="K12" s="16">
        <v>17.64888</v>
      </c>
      <c r="L12" s="16">
        <v>-63.2311</v>
      </c>
      <c r="M12" s="19">
        <v>16.0</v>
      </c>
      <c r="N12" s="21" t="s">
        <v>188</v>
      </c>
      <c r="O12" s="16" t="s">
        <v>332</v>
      </c>
      <c r="P12" s="21">
        <v>0.4479166666666667</v>
      </c>
      <c r="Q12" s="16" t="s">
        <v>333</v>
      </c>
      <c r="R12" s="16" t="s">
        <v>288</v>
      </c>
      <c r="S12" s="16" t="s">
        <v>23</v>
      </c>
      <c r="T12" s="16" t="s">
        <v>221</v>
      </c>
      <c r="U12" s="16">
        <v>105.0</v>
      </c>
      <c r="V12" s="23" t="s">
        <v>199</v>
      </c>
      <c r="W12" s="23" t="s">
        <v>199</v>
      </c>
      <c r="X12" s="23" t="s">
        <v>199</v>
      </c>
      <c r="Y12" s="23">
        <v>0.0</v>
      </c>
      <c r="Z12" s="23">
        <v>0.0</v>
      </c>
      <c r="AA12" s="23" t="s">
        <v>199</v>
      </c>
      <c r="AB12" s="23" t="s">
        <v>199</v>
      </c>
      <c r="AC12" s="16">
        <v>599.0</v>
      </c>
      <c r="AD12" s="23" t="s">
        <v>199</v>
      </c>
      <c r="AE12" s="23" t="s">
        <v>199</v>
      </c>
      <c r="AF12" s="23" t="s">
        <v>199</v>
      </c>
      <c r="AG12" s="23" t="s">
        <v>199</v>
      </c>
      <c r="AH12" s="23">
        <v>0.0</v>
      </c>
      <c r="AI12" s="23" t="s">
        <v>199</v>
      </c>
      <c r="AJ12" s="23">
        <v>0.0</v>
      </c>
      <c r="AK12" s="24" t="s">
        <v>338</v>
      </c>
      <c r="AL12" s="25"/>
      <c r="AM12" s="25"/>
      <c r="AN12" s="25"/>
      <c r="AO12" s="25"/>
      <c r="AP12" s="25"/>
    </row>
    <row r="13" ht="15.75" hidden="1" customHeight="1">
      <c r="A13" s="26" t="s">
        <v>167</v>
      </c>
      <c r="B13" s="26">
        <v>2014.0</v>
      </c>
      <c r="C13" s="26" t="s">
        <v>147</v>
      </c>
      <c r="D13" s="26">
        <v>29.0</v>
      </c>
      <c r="E13" s="26" t="s">
        <v>176</v>
      </c>
      <c r="F13" s="26" t="s">
        <v>340</v>
      </c>
      <c r="G13" s="26" t="s">
        <v>329</v>
      </c>
      <c r="H13" s="26"/>
      <c r="I13" s="26"/>
      <c r="J13" s="26"/>
      <c r="K13" s="26">
        <v>17.64888</v>
      </c>
      <c r="L13" s="26">
        <v>-63.2311</v>
      </c>
      <c r="M13" s="27">
        <v>18.0</v>
      </c>
      <c r="N13" s="28" t="s">
        <v>188</v>
      </c>
      <c r="O13" s="26" t="s">
        <v>341</v>
      </c>
      <c r="P13" s="28">
        <v>0.4548611111111111</v>
      </c>
      <c r="Q13" s="26" t="s">
        <v>333</v>
      </c>
      <c r="R13" s="26" t="s">
        <v>288</v>
      </c>
      <c r="S13" s="26" t="s">
        <v>23</v>
      </c>
      <c r="T13" s="26" t="s">
        <v>221</v>
      </c>
      <c r="U13" s="26">
        <v>94.0</v>
      </c>
      <c r="V13" s="30" t="s">
        <v>199</v>
      </c>
      <c r="W13" s="30" t="s">
        <v>199</v>
      </c>
      <c r="X13" s="30" t="s">
        <v>199</v>
      </c>
      <c r="Y13" s="30">
        <v>0.0</v>
      </c>
      <c r="Z13" s="30">
        <v>0.0</v>
      </c>
      <c r="AA13" s="30" t="s">
        <v>199</v>
      </c>
      <c r="AB13" s="30" t="s">
        <v>199</v>
      </c>
      <c r="AC13" s="26">
        <v>598.0</v>
      </c>
      <c r="AD13" s="30" t="s">
        <v>199</v>
      </c>
      <c r="AE13" s="30" t="s">
        <v>199</v>
      </c>
      <c r="AF13" s="30" t="s">
        <v>199</v>
      </c>
      <c r="AG13" s="30" t="s">
        <v>199</v>
      </c>
      <c r="AH13" s="30">
        <v>0.0</v>
      </c>
      <c r="AI13" s="30" t="s">
        <v>199</v>
      </c>
      <c r="AJ13" s="30">
        <v>0.0</v>
      </c>
      <c r="AK13" s="32" t="s">
        <v>338</v>
      </c>
      <c r="AL13" s="25"/>
      <c r="AM13" s="25"/>
      <c r="AN13" s="25"/>
      <c r="AO13" s="25"/>
      <c r="AP13" s="25"/>
    </row>
    <row r="14" ht="15.75" hidden="1" customHeight="1">
      <c r="A14" s="16" t="s">
        <v>167</v>
      </c>
      <c r="B14" s="16">
        <v>2015.0</v>
      </c>
      <c r="C14" s="16" t="s">
        <v>147</v>
      </c>
      <c r="D14" s="16">
        <v>31.0</v>
      </c>
      <c r="E14" s="16" t="s">
        <v>176</v>
      </c>
      <c r="F14" s="16" t="s">
        <v>356</v>
      </c>
      <c r="G14" s="16" t="s">
        <v>182</v>
      </c>
      <c r="H14" s="16"/>
      <c r="I14" s="16"/>
      <c r="J14" s="16"/>
      <c r="K14" s="33">
        <v>17.64888</v>
      </c>
      <c r="L14" s="33">
        <v>-63.2311</v>
      </c>
      <c r="M14" s="19">
        <v>15.0</v>
      </c>
      <c r="N14" s="21" t="s">
        <v>243</v>
      </c>
      <c r="O14" s="16" t="s">
        <v>366</v>
      </c>
      <c r="P14" s="21">
        <v>0.5833333333333334</v>
      </c>
      <c r="Q14" s="16" t="s">
        <v>368</v>
      </c>
      <c r="R14" s="16" t="s">
        <v>288</v>
      </c>
      <c r="S14" s="16" t="s">
        <v>23</v>
      </c>
      <c r="T14" s="16" t="s">
        <v>198</v>
      </c>
      <c r="U14" s="16">
        <v>120.0</v>
      </c>
      <c r="V14" s="23" t="s">
        <v>199</v>
      </c>
      <c r="W14" s="23" t="s">
        <v>199</v>
      </c>
      <c r="X14" s="23" t="s">
        <v>199</v>
      </c>
      <c r="Y14" s="23">
        <v>0.0</v>
      </c>
      <c r="Z14" s="23">
        <v>0.0</v>
      </c>
      <c r="AA14" s="23" t="s">
        <v>199</v>
      </c>
      <c r="AB14" s="23" t="s">
        <v>199</v>
      </c>
      <c r="AC14" s="16">
        <v>20564.0</v>
      </c>
      <c r="AD14" s="16">
        <v>1226325.0</v>
      </c>
      <c r="AE14" s="23" t="s">
        <v>199</v>
      </c>
      <c r="AF14" s="23" t="s">
        <v>199</v>
      </c>
      <c r="AG14" s="23" t="s">
        <v>199</v>
      </c>
      <c r="AH14" s="23">
        <v>0.0</v>
      </c>
      <c r="AI14" s="23" t="s">
        <v>199</v>
      </c>
      <c r="AJ14" s="23">
        <v>0.0</v>
      </c>
      <c r="AK14" s="24"/>
      <c r="AL14" s="25"/>
      <c r="AM14" s="25"/>
      <c r="AN14" s="25"/>
      <c r="AO14" s="25"/>
      <c r="AP14" s="25"/>
    </row>
    <row r="15" ht="15.75" hidden="1" customHeight="1">
      <c r="A15" s="26" t="s">
        <v>167</v>
      </c>
      <c r="B15" s="26">
        <v>2015.0</v>
      </c>
      <c r="C15" s="26" t="s">
        <v>378</v>
      </c>
      <c r="D15" s="26">
        <v>11.0</v>
      </c>
      <c r="E15" s="26" t="s">
        <v>176</v>
      </c>
      <c r="F15" s="26" t="s">
        <v>379</v>
      </c>
      <c r="G15" s="26" t="s">
        <v>182</v>
      </c>
      <c r="H15" s="26"/>
      <c r="I15" s="26"/>
      <c r="J15" s="26"/>
      <c r="K15" s="36">
        <v>17.9881</v>
      </c>
      <c r="L15" s="36">
        <v>-63.05137</v>
      </c>
      <c r="M15" s="27">
        <v>27.0</v>
      </c>
      <c r="N15" s="28" t="s">
        <v>385</v>
      </c>
      <c r="O15" s="26" t="s">
        <v>386</v>
      </c>
      <c r="P15" s="28">
        <v>0.6770833333333334</v>
      </c>
      <c r="Q15" s="26" t="s">
        <v>387</v>
      </c>
      <c r="R15" s="26" t="s">
        <v>288</v>
      </c>
      <c r="S15" s="26" t="s">
        <v>23</v>
      </c>
      <c r="T15" s="26" t="s">
        <v>221</v>
      </c>
      <c r="U15" s="26">
        <v>206.0</v>
      </c>
      <c r="V15" s="30" t="s">
        <v>199</v>
      </c>
      <c r="W15" s="30" t="s">
        <v>199</v>
      </c>
      <c r="X15" s="30" t="s">
        <v>199</v>
      </c>
      <c r="Y15" s="30">
        <v>0.0</v>
      </c>
      <c r="Z15" s="30">
        <v>0.0</v>
      </c>
      <c r="AA15" s="30" t="s">
        <v>199</v>
      </c>
      <c r="AB15" s="30" t="s">
        <v>199</v>
      </c>
      <c r="AC15" s="26">
        <v>20565.0</v>
      </c>
      <c r="AD15" s="26">
        <v>1226326.0</v>
      </c>
      <c r="AE15" s="30" t="s">
        <v>199</v>
      </c>
      <c r="AF15" s="30" t="s">
        <v>199</v>
      </c>
      <c r="AG15" s="30" t="s">
        <v>199</v>
      </c>
      <c r="AH15" s="30">
        <v>0.0</v>
      </c>
      <c r="AI15" s="30" t="s">
        <v>199</v>
      </c>
      <c r="AJ15" s="30">
        <v>0.0</v>
      </c>
      <c r="AK15" s="32" t="s">
        <v>398</v>
      </c>
      <c r="AL15" s="25"/>
      <c r="AM15" s="25"/>
      <c r="AN15" s="25"/>
      <c r="AO15" s="25"/>
      <c r="AP15" s="25"/>
    </row>
    <row r="16" ht="15.75" hidden="1" customHeight="1">
      <c r="A16" s="16" t="s">
        <v>167</v>
      </c>
      <c r="B16" s="16">
        <v>2015.0</v>
      </c>
      <c r="C16" s="16" t="s">
        <v>400</v>
      </c>
      <c r="D16" s="16">
        <v>11.0</v>
      </c>
      <c r="E16" s="16" t="s">
        <v>176</v>
      </c>
      <c r="F16" s="16" t="s">
        <v>402</v>
      </c>
      <c r="G16" s="16" t="s">
        <v>182</v>
      </c>
      <c r="H16" s="16"/>
      <c r="I16" s="16"/>
      <c r="J16" s="16"/>
      <c r="K16" s="33">
        <v>17.40118</v>
      </c>
      <c r="L16" s="33">
        <v>-63.19963</v>
      </c>
      <c r="M16" s="19">
        <v>16.0</v>
      </c>
      <c r="N16" s="21" t="s">
        <v>406</v>
      </c>
      <c r="O16" s="16" t="s">
        <v>406</v>
      </c>
      <c r="P16" s="21">
        <v>0.4375</v>
      </c>
      <c r="Q16" s="16" t="s">
        <v>408</v>
      </c>
      <c r="R16" s="22" t="s">
        <v>194</v>
      </c>
      <c r="S16" s="16" t="s">
        <v>197</v>
      </c>
      <c r="T16" s="16" t="s">
        <v>221</v>
      </c>
      <c r="U16" s="16">
        <v>105.0</v>
      </c>
      <c r="V16" s="23" t="s">
        <v>199</v>
      </c>
      <c r="W16" s="23" t="s">
        <v>199</v>
      </c>
      <c r="X16" s="23" t="s">
        <v>199</v>
      </c>
      <c r="Y16" s="23">
        <v>0.0</v>
      </c>
      <c r="Z16" s="23">
        <v>0.0</v>
      </c>
      <c r="AA16" s="23" t="s">
        <v>199</v>
      </c>
      <c r="AB16" s="23" t="s">
        <v>199</v>
      </c>
      <c r="AC16" s="16">
        <v>20566.0</v>
      </c>
      <c r="AD16" s="16">
        <v>1226327.0</v>
      </c>
      <c r="AE16" s="23" t="s">
        <v>199</v>
      </c>
      <c r="AF16" s="23" t="s">
        <v>199</v>
      </c>
      <c r="AG16" s="23" t="s">
        <v>199</v>
      </c>
      <c r="AH16" s="23">
        <v>0.0</v>
      </c>
      <c r="AI16" s="23" t="s">
        <v>199</v>
      </c>
      <c r="AJ16" s="23">
        <v>0.0</v>
      </c>
      <c r="AK16" s="24" t="s">
        <v>417</v>
      </c>
      <c r="AL16" s="25"/>
      <c r="AM16" s="25"/>
      <c r="AN16" s="25"/>
      <c r="AO16" s="25"/>
      <c r="AP16" s="25"/>
    </row>
    <row r="17" ht="15.75" hidden="1" customHeight="1">
      <c r="A17" s="26" t="s">
        <v>167</v>
      </c>
      <c r="B17" s="26">
        <v>2015.0</v>
      </c>
      <c r="C17" s="26" t="s">
        <v>400</v>
      </c>
      <c r="D17" s="26">
        <v>11.0</v>
      </c>
      <c r="E17" s="26" t="s">
        <v>176</v>
      </c>
      <c r="F17" s="26" t="s">
        <v>419</v>
      </c>
      <c r="G17" s="26" t="s">
        <v>182</v>
      </c>
      <c r="H17" s="26"/>
      <c r="I17" s="26"/>
      <c r="J17" s="26"/>
      <c r="K17" s="36">
        <v>17.40118</v>
      </c>
      <c r="L17" s="36">
        <v>-63.19963</v>
      </c>
      <c r="M17" s="27">
        <v>16.0</v>
      </c>
      <c r="N17" s="28" t="s">
        <v>406</v>
      </c>
      <c r="O17" s="26" t="s">
        <v>406</v>
      </c>
      <c r="P17" s="28">
        <v>0.4513888888888889</v>
      </c>
      <c r="Q17" s="26" t="s">
        <v>408</v>
      </c>
      <c r="R17" s="29" t="s">
        <v>194</v>
      </c>
      <c r="S17" s="26" t="s">
        <v>197</v>
      </c>
      <c r="T17" s="26" t="s">
        <v>221</v>
      </c>
      <c r="U17" s="26">
        <v>99.0</v>
      </c>
      <c r="V17" s="30" t="s">
        <v>199</v>
      </c>
      <c r="W17" s="30" t="s">
        <v>199</v>
      </c>
      <c r="X17" s="30" t="s">
        <v>199</v>
      </c>
      <c r="Y17" s="30">
        <v>0.0</v>
      </c>
      <c r="Z17" s="30">
        <v>0.0</v>
      </c>
      <c r="AA17" s="30" t="s">
        <v>199</v>
      </c>
      <c r="AB17" s="30" t="s">
        <v>199</v>
      </c>
      <c r="AC17" s="26">
        <v>20567.0</v>
      </c>
      <c r="AD17" s="26">
        <v>1226328.0</v>
      </c>
      <c r="AE17" s="30" t="s">
        <v>199</v>
      </c>
      <c r="AF17" s="30" t="s">
        <v>199</v>
      </c>
      <c r="AG17" s="30" t="s">
        <v>199</v>
      </c>
      <c r="AH17" s="30">
        <v>0.0</v>
      </c>
      <c r="AI17" s="30" t="s">
        <v>199</v>
      </c>
      <c r="AJ17" s="30">
        <v>0.0</v>
      </c>
      <c r="AK17" s="32" t="s">
        <v>417</v>
      </c>
      <c r="AL17" s="25"/>
      <c r="AM17" s="25"/>
      <c r="AN17" s="25"/>
      <c r="AO17" s="25"/>
      <c r="AP17" s="25"/>
    </row>
    <row r="18" ht="15.75" hidden="1" customHeight="1">
      <c r="A18" s="16" t="s">
        <v>167</v>
      </c>
      <c r="B18" s="16">
        <v>2015.0</v>
      </c>
      <c r="C18" s="16" t="s">
        <v>400</v>
      </c>
      <c r="D18" s="16">
        <v>11.0</v>
      </c>
      <c r="E18" s="16" t="s">
        <v>176</v>
      </c>
      <c r="F18" s="16" t="s">
        <v>433</v>
      </c>
      <c r="G18" s="16" t="s">
        <v>182</v>
      </c>
      <c r="H18" s="16"/>
      <c r="I18" s="16"/>
      <c r="J18" s="16"/>
      <c r="K18" s="33">
        <v>17.40118</v>
      </c>
      <c r="L18" s="33">
        <v>-63.19963</v>
      </c>
      <c r="M18" s="19">
        <v>16.0</v>
      </c>
      <c r="N18" s="21" t="s">
        <v>406</v>
      </c>
      <c r="O18" s="16" t="s">
        <v>406</v>
      </c>
      <c r="P18" s="21">
        <v>0.4895833333333333</v>
      </c>
      <c r="Q18" s="16" t="s">
        <v>408</v>
      </c>
      <c r="R18" s="22" t="s">
        <v>194</v>
      </c>
      <c r="S18" s="16" t="s">
        <v>197</v>
      </c>
      <c r="T18" s="16" t="s">
        <v>221</v>
      </c>
      <c r="U18" s="16">
        <v>103.0</v>
      </c>
      <c r="V18" s="23" t="s">
        <v>199</v>
      </c>
      <c r="W18" s="23" t="s">
        <v>199</v>
      </c>
      <c r="X18" s="23" t="s">
        <v>199</v>
      </c>
      <c r="Y18" s="23">
        <v>0.0</v>
      </c>
      <c r="Z18" s="23">
        <v>0.0</v>
      </c>
      <c r="AA18" s="23" t="s">
        <v>199</v>
      </c>
      <c r="AB18" s="23" t="s">
        <v>199</v>
      </c>
      <c r="AC18" s="16">
        <v>20568.0</v>
      </c>
      <c r="AD18" s="16">
        <v>1226329.0</v>
      </c>
      <c r="AE18" s="23" t="s">
        <v>199</v>
      </c>
      <c r="AF18" s="23" t="s">
        <v>199</v>
      </c>
      <c r="AG18" s="23" t="s">
        <v>199</v>
      </c>
      <c r="AH18" s="23">
        <v>0.0</v>
      </c>
      <c r="AI18" s="23" t="s">
        <v>199</v>
      </c>
      <c r="AJ18" s="23">
        <v>0.0</v>
      </c>
      <c r="AK18" s="24" t="s">
        <v>417</v>
      </c>
      <c r="AL18" s="25"/>
      <c r="AM18" s="25"/>
      <c r="AN18" s="25"/>
      <c r="AO18" s="25"/>
      <c r="AP18" s="25"/>
    </row>
    <row r="19" ht="15.75" hidden="1" customHeight="1">
      <c r="A19" s="26" t="s">
        <v>167</v>
      </c>
      <c r="B19" s="26">
        <v>2015.0</v>
      </c>
      <c r="C19" s="26" t="s">
        <v>400</v>
      </c>
      <c r="D19" s="26">
        <v>11.0</v>
      </c>
      <c r="E19" s="26" t="s">
        <v>176</v>
      </c>
      <c r="F19" s="26" t="s">
        <v>446</v>
      </c>
      <c r="G19" s="26" t="s">
        <v>182</v>
      </c>
      <c r="H19" s="26"/>
      <c r="I19" s="26"/>
      <c r="J19" s="26"/>
      <c r="K19" s="36">
        <v>17.40118</v>
      </c>
      <c r="L19" s="36">
        <v>-63.19963</v>
      </c>
      <c r="M19" s="27">
        <v>16.0</v>
      </c>
      <c r="N19" s="28" t="s">
        <v>406</v>
      </c>
      <c r="O19" s="26" t="s">
        <v>406</v>
      </c>
      <c r="P19" s="28">
        <v>0.4909722222222222</v>
      </c>
      <c r="Q19" s="26" t="s">
        <v>408</v>
      </c>
      <c r="R19" s="26" t="s">
        <v>288</v>
      </c>
      <c r="S19" s="26" t="s">
        <v>23</v>
      </c>
      <c r="T19" s="26" t="s">
        <v>221</v>
      </c>
      <c r="U19" s="26">
        <v>163.0</v>
      </c>
      <c r="V19" s="30" t="s">
        <v>199</v>
      </c>
      <c r="W19" s="30" t="s">
        <v>199</v>
      </c>
      <c r="X19" s="30" t="s">
        <v>199</v>
      </c>
      <c r="Y19" s="30">
        <v>0.0</v>
      </c>
      <c r="Z19" s="30">
        <v>0.0</v>
      </c>
      <c r="AA19" s="30" t="s">
        <v>199</v>
      </c>
      <c r="AB19" s="30" t="s">
        <v>199</v>
      </c>
      <c r="AC19" s="26">
        <v>20569.0</v>
      </c>
      <c r="AD19" s="26">
        <v>1226330.0</v>
      </c>
      <c r="AE19" s="30" t="s">
        <v>199</v>
      </c>
      <c r="AF19" s="30" t="s">
        <v>199</v>
      </c>
      <c r="AG19" s="30" t="s">
        <v>199</v>
      </c>
      <c r="AH19" s="30">
        <v>0.0</v>
      </c>
      <c r="AI19" s="30" t="s">
        <v>199</v>
      </c>
      <c r="AJ19" s="30">
        <v>0.0</v>
      </c>
      <c r="AK19" s="32" t="s">
        <v>417</v>
      </c>
      <c r="AL19" s="25"/>
      <c r="AM19" s="25"/>
      <c r="AN19" s="25"/>
      <c r="AO19" s="25"/>
      <c r="AP19" s="25"/>
    </row>
    <row r="20" ht="15.75" hidden="1" customHeight="1">
      <c r="A20" s="16" t="s">
        <v>167</v>
      </c>
      <c r="B20" s="16">
        <v>2015.0</v>
      </c>
      <c r="C20" s="16" t="s">
        <v>400</v>
      </c>
      <c r="D20" s="16">
        <v>12.0</v>
      </c>
      <c r="E20" s="16" t="s">
        <v>176</v>
      </c>
      <c r="F20" s="16" t="s">
        <v>454</v>
      </c>
      <c r="G20" s="16" t="s">
        <v>182</v>
      </c>
      <c r="H20" s="16"/>
      <c r="I20" s="16"/>
      <c r="J20" s="16"/>
      <c r="K20" s="33">
        <v>17.40118</v>
      </c>
      <c r="L20" s="33">
        <v>-63.19963</v>
      </c>
      <c r="M20" s="19">
        <v>16.0</v>
      </c>
      <c r="N20" s="21" t="s">
        <v>406</v>
      </c>
      <c r="O20" s="16" t="s">
        <v>406</v>
      </c>
      <c r="P20" s="21">
        <v>0.4270833333333333</v>
      </c>
      <c r="Q20" s="16" t="s">
        <v>408</v>
      </c>
      <c r="R20" s="22" t="s">
        <v>194</v>
      </c>
      <c r="S20" s="16" t="s">
        <v>197</v>
      </c>
      <c r="T20" s="16" t="s">
        <v>198</v>
      </c>
      <c r="U20" s="16">
        <v>109.0</v>
      </c>
      <c r="V20" s="23" t="s">
        <v>199</v>
      </c>
      <c r="W20" s="23" t="s">
        <v>199</v>
      </c>
      <c r="X20" s="23" t="s">
        <v>199</v>
      </c>
      <c r="Y20" s="23">
        <v>0.0</v>
      </c>
      <c r="Z20" s="23">
        <v>0.0</v>
      </c>
      <c r="AA20" s="23" t="s">
        <v>199</v>
      </c>
      <c r="AB20" s="23" t="s">
        <v>199</v>
      </c>
      <c r="AC20" s="16">
        <v>20570.0</v>
      </c>
      <c r="AD20" s="16">
        <v>1226331.0</v>
      </c>
      <c r="AE20" s="23" t="s">
        <v>199</v>
      </c>
      <c r="AF20" s="23" t="s">
        <v>199</v>
      </c>
      <c r="AG20" s="23" t="s">
        <v>199</v>
      </c>
      <c r="AH20" s="23">
        <v>0.0</v>
      </c>
      <c r="AI20" s="23" t="s">
        <v>199</v>
      </c>
      <c r="AJ20" s="23">
        <v>0.0</v>
      </c>
      <c r="AK20" s="24" t="s">
        <v>417</v>
      </c>
      <c r="AL20" s="25"/>
      <c r="AM20" s="25"/>
      <c r="AN20" s="25"/>
      <c r="AO20" s="25"/>
      <c r="AP20" s="25"/>
    </row>
    <row r="21" ht="15.75" hidden="1" customHeight="1">
      <c r="A21" s="26" t="s">
        <v>167</v>
      </c>
      <c r="B21" s="26">
        <v>2015.0</v>
      </c>
      <c r="C21" s="26" t="s">
        <v>400</v>
      </c>
      <c r="D21" s="26">
        <v>12.0</v>
      </c>
      <c r="E21" s="26" t="s">
        <v>176</v>
      </c>
      <c r="F21" s="26" t="s">
        <v>467</v>
      </c>
      <c r="G21" s="26" t="s">
        <v>182</v>
      </c>
      <c r="H21" s="26"/>
      <c r="I21" s="26"/>
      <c r="J21" s="26"/>
      <c r="K21" s="36">
        <v>17.40118</v>
      </c>
      <c r="L21" s="36">
        <v>-63.19963</v>
      </c>
      <c r="M21" s="27">
        <v>16.0</v>
      </c>
      <c r="N21" s="28" t="s">
        <v>406</v>
      </c>
      <c r="O21" s="26" t="s">
        <v>406</v>
      </c>
      <c r="P21" s="28">
        <v>0.4826388888888889</v>
      </c>
      <c r="Q21" s="26" t="s">
        <v>408</v>
      </c>
      <c r="R21" s="29" t="s">
        <v>194</v>
      </c>
      <c r="S21" s="26" t="s">
        <v>197</v>
      </c>
      <c r="T21" s="26" t="s">
        <v>198</v>
      </c>
      <c r="U21" s="26">
        <v>112.0</v>
      </c>
      <c r="V21" s="30" t="s">
        <v>199</v>
      </c>
      <c r="W21" s="30" t="s">
        <v>199</v>
      </c>
      <c r="X21" s="30" t="s">
        <v>199</v>
      </c>
      <c r="Y21" s="30">
        <v>0.0</v>
      </c>
      <c r="Z21" s="30">
        <v>0.0</v>
      </c>
      <c r="AA21" s="30" t="s">
        <v>199</v>
      </c>
      <c r="AB21" s="30" t="s">
        <v>199</v>
      </c>
      <c r="AC21" s="26">
        <v>20571.0</v>
      </c>
      <c r="AD21" s="26">
        <v>1226332.0</v>
      </c>
      <c r="AE21" s="30" t="s">
        <v>199</v>
      </c>
      <c r="AF21" s="30" t="s">
        <v>199</v>
      </c>
      <c r="AG21" s="30" t="s">
        <v>199</v>
      </c>
      <c r="AH21" s="30">
        <v>0.0</v>
      </c>
      <c r="AI21" s="30" t="s">
        <v>199</v>
      </c>
      <c r="AJ21" s="30">
        <v>0.0</v>
      </c>
      <c r="AK21" s="32" t="s">
        <v>417</v>
      </c>
      <c r="AL21" s="25"/>
      <c r="AM21" s="25"/>
      <c r="AN21" s="25"/>
      <c r="AO21" s="25"/>
      <c r="AP21" s="25"/>
    </row>
    <row r="22" ht="15.75" customHeight="1">
      <c r="A22" s="16" t="s">
        <v>167</v>
      </c>
      <c r="B22" s="16">
        <v>2016.0</v>
      </c>
      <c r="C22" s="16" t="s">
        <v>476</v>
      </c>
      <c r="D22" s="16">
        <v>13.0</v>
      </c>
      <c r="E22" s="16" t="s">
        <v>176</v>
      </c>
      <c r="F22" s="16" t="s">
        <v>477</v>
      </c>
      <c r="G22" s="16" t="s">
        <v>182</v>
      </c>
      <c r="H22" s="16"/>
      <c r="I22" s="16"/>
      <c r="J22" s="16"/>
      <c r="K22" s="33">
        <v>17.44647</v>
      </c>
      <c r="L22" s="33">
        <v>-63.59173</v>
      </c>
      <c r="M22" s="19">
        <v>40.0</v>
      </c>
      <c r="N22" s="21" t="s">
        <v>406</v>
      </c>
      <c r="O22" s="16" t="s">
        <v>406</v>
      </c>
      <c r="P22" s="21">
        <v>0.4270833333333333</v>
      </c>
      <c r="Q22" s="16" t="s">
        <v>193</v>
      </c>
      <c r="R22" s="22" t="s">
        <v>194</v>
      </c>
      <c r="S22" s="16" t="s">
        <v>197</v>
      </c>
      <c r="T22" s="16" t="s">
        <v>198</v>
      </c>
      <c r="U22" s="16">
        <v>142.0</v>
      </c>
      <c r="V22" s="23" t="s">
        <v>199</v>
      </c>
      <c r="W22" s="23" t="s">
        <v>199</v>
      </c>
      <c r="X22" s="23" t="s">
        <v>199</v>
      </c>
      <c r="Y22" s="23">
        <v>0.0</v>
      </c>
      <c r="Z22" s="23">
        <v>0.0</v>
      </c>
      <c r="AA22" s="23" t="s">
        <v>199</v>
      </c>
      <c r="AB22" s="23" t="s">
        <v>199</v>
      </c>
      <c r="AC22" s="16">
        <v>20572.0</v>
      </c>
      <c r="AD22" s="16">
        <v>1226333.0</v>
      </c>
      <c r="AE22" s="23" t="s">
        <v>199</v>
      </c>
      <c r="AF22" s="23" t="s">
        <v>199</v>
      </c>
      <c r="AG22" s="23" t="s">
        <v>199</v>
      </c>
      <c r="AH22" s="23">
        <v>0.0</v>
      </c>
      <c r="AI22" s="23" t="s">
        <v>199</v>
      </c>
      <c r="AJ22" s="23">
        <v>0.0</v>
      </c>
      <c r="AK22" s="24" t="s">
        <v>486</v>
      </c>
      <c r="AL22" s="25"/>
      <c r="AM22" s="25"/>
      <c r="AN22" s="25"/>
      <c r="AO22" s="25"/>
      <c r="AP22" s="25"/>
    </row>
    <row r="23" ht="15.75" customHeight="1">
      <c r="A23" s="26" t="s">
        <v>167</v>
      </c>
      <c r="B23" s="26">
        <v>2016.0</v>
      </c>
      <c r="C23" s="26" t="s">
        <v>476</v>
      </c>
      <c r="D23" s="26">
        <v>13.0</v>
      </c>
      <c r="E23" s="26" t="s">
        <v>176</v>
      </c>
      <c r="F23" s="26" t="s">
        <v>488</v>
      </c>
      <c r="G23" s="26" t="s">
        <v>182</v>
      </c>
      <c r="H23" s="26"/>
      <c r="I23" s="26"/>
      <c r="J23" s="26"/>
      <c r="K23" s="36">
        <v>17.44647</v>
      </c>
      <c r="L23" s="36">
        <v>-63.59173</v>
      </c>
      <c r="M23" s="27">
        <v>40.0</v>
      </c>
      <c r="N23" s="28" t="s">
        <v>406</v>
      </c>
      <c r="O23" s="26" t="s">
        <v>406</v>
      </c>
      <c r="P23" s="28">
        <v>0.4375</v>
      </c>
      <c r="Q23" s="26" t="s">
        <v>193</v>
      </c>
      <c r="R23" s="29" t="s">
        <v>194</v>
      </c>
      <c r="S23" s="26" t="s">
        <v>197</v>
      </c>
      <c r="T23" s="26" t="s">
        <v>221</v>
      </c>
      <c r="U23" s="26">
        <v>162.0</v>
      </c>
      <c r="V23" s="30" t="s">
        <v>199</v>
      </c>
      <c r="W23" s="30" t="s">
        <v>199</v>
      </c>
      <c r="X23" s="30" t="s">
        <v>199</v>
      </c>
      <c r="Y23" s="30">
        <v>0.0</v>
      </c>
      <c r="Z23" s="30">
        <v>0.0</v>
      </c>
      <c r="AA23" s="30" t="s">
        <v>199</v>
      </c>
      <c r="AB23" s="30" t="s">
        <v>199</v>
      </c>
      <c r="AC23" s="26">
        <v>20573.0</v>
      </c>
      <c r="AD23" s="26">
        <v>1226334.0</v>
      </c>
      <c r="AE23" s="30" t="s">
        <v>199</v>
      </c>
      <c r="AF23" s="30" t="s">
        <v>199</v>
      </c>
      <c r="AG23" s="30" t="s">
        <v>199</v>
      </c>
      <c r="AH23" s="30">
        <v>0.0</v>
      </c>
      <c r="AI23" s="30" t="s">
        <v>199</v>
      </c>
      <c r="AJ23" s="30">
        <v>0.0</v>
      </c>
      <c r="AK23" s="32" t="s">
        <v>486</v>
      </c>
      <c r="AL23" s="25"/>
      <c r="AM23" s="25"/>
      <c r="AN23" s="25"/>
      <c r="AO23" s="25"/>
      <c r="AP23" s="25"/>
    </row>
    <row r="24" ht="15.75" customHeight="1">
      <c r="A24" s="16" t="s">
        <v>167</v>
      </c>
      <c r="B24" s="16">
        <v>2016.0</v>
      </c>
      <c r="C24" s="16" t="s">
        <v>476</v>
      </c>
      <c r="D24" s="16">
        <v>13.0</v>
      </c>
      <c r="E24" s="16" t="s">
        <v>176</v>
      </c>
      <c r="F24" s="16" t="s">
        <v>498</v>
      </c>
      <c r="G24" s="16" t="s">
        <v>182</v>
      </c>
      <c r="H24" s="16"/>
      <c r="I24" s="16"/>
      <c r="J24" s="16"/>
      <c r="K24" s="33">
        <v>17.44647</v>
      </c>
      <c r="L24" s="33">
        <v>-63.59173</v>
      </c>
      <c r="M24" s="19">
        <v>40.0</v>
      </c>
      <c r="N24" s="21" t="s">
        <v>406</v>
      </c>
      <c r="O24" s="16" t="s">
        <v>406</v>
      </c>
      <c r="P24" s="21">
        <v>0.4791666666666667</v>
      </c>
      <c r="Q24" s="16" t="s">
        <v>193</v>
      </c>
      <c r="R24" s="16"/>
      <c r="S24" s="16" t="s">
        <v>502</v>
      </c>
      <c r="T24" s="16" t="s">
        <v>198</v>
      </c>
      <c r="U24" s="16">
        <v>113.0</v>
      </c>
      <c r="V24" s="23" t="s">
        <v>199</v>
      </c>
      <c r="W24" s="23" t="s">
        <v>199</v>
      </c>
      <c r="X24" s="23" t="s">
        <v>199</v>
      </c>
      <c r="Y24" s="23">
        <v>0.0</v>
      </c>
      <c r="Z24" s="23">
        <v>0.0</v>
      </c>
      <c r="AA24" s="23" t="s">
        <v>199</v>
      </c>
      <c r="AB24" s="23" t="s">
        <v>199</v>
      </c>
      <c r="AC24" s="16">
        <v>20574.0</v>
      </c>
      <c r="AD24" s="16">
        <v>1226335.0</v>
      </c>
      <c r="AE24" s="23" t="s">
        <v>199</v>
      </c>
      <c r="AF24" s="23" t="s">
        <v>199</v>
      </c>
      <c r="AG24" s="23" t="s">
        <v>199</v>
      </c>
      <c r="AH24" s="23">
        <v>0.0</v>
      </c>
      <c r="AI24" s="23" t="s">
        <v>199</v>
      </c>
      <c r="AJ24" s="23">
        <v>0.0</v>
      </c>
      <c r="AK24" s="24" t="s">
        <v>486</v>
      </c>
      <c r="AL24" s="25"/>
      <c r="AM24" s="25"/>
      <c r="AN24" s="25"/>
      <c r="AO24" s="25"/>
      <c r="AP24" s="25"/>
    </row>
    <row r="25" ht="15.75" customHeight="1">
      <c r="A25" s="26" t="s">
        <v>167</v>
      </c>
      <c r="B25" s="26">
        <v>2016.0</v>
      </c>
      <c r="C25" s="26" t="s">
        <v>476</v>
      </c>
      <c r="D25" s="26">
        <v>13.0</v>
      </c>
      <c r="E25" s="26" t="s">
        <v>176</v>
      </c>
      <c r="F25" s="26" t="s">
        <v>510</v>
      </c>
      <c r="G25" s="26" t="s">
        <v>182</v>
      </c>
      <c r="H25" s="26"/>
      <c r="I25" s="26"/>
      <c r="J25" s="26"/>
      <c r="K25" s="36">
        <v>17.44647</v>
      </c>
      <c r="L25" s="36">
        <v>-63.59173</v>
      </c>
      <c r="M25" s="27">
        <v>40.0</v>
      </c>
      <c r="N25" s="28" t="s">
        <v>406</v>
      </c>
      <c r="O25" s="26" t="s">
        <v>406</v>
      </c>
      <c r="P25" s="28">
        <v>0.5208333333333334</v>
      </c>
      <c r="Q25" s="26" t="s">
        <v>193</v>
      </c>
      <c r="R25" s="29" t="s">
        <v>194</v>
      </c>
      <c r="S25" s="26" t="s">
        <v>197</v>
      </c>
      <c r="T25" s="26" t="s">
        <v>221</v>
      </c>
      <c r="U25" s="26">
        <v>150.0</v>
      </c>
      <c r="V25" s="30" t="s">
        <v>199</v>
      </c>
      <c r="W25" s="30" t="s">
        <v>199</v>
      </c>
      <c r="X25" s="30" t="s">
        <v>199</v>
      </c>
      <c r="Y25" s="30">
        <v>0.0</v>
      </c>
      <c r="Z25" s="30">
        <v>0.0</v>
      </c>
      <c r="AA25" s="30" t="s">
        <v>199</v>
      </c>
      <c r="AB25" s="30" t="s">
        <v>199</v>
      </c>
      <c r="AC25" s="26">
        <v>20575.0</v>
      </c>
      <c r="AD25" s="26">
        <v>1226336.0</v>
      </c>
      <c r="AE25" s="30" t="s">
        <v>199</v>
      </c>
      <c r="AF25" s="30" t="s">
        <v>199</v>
      </c>
      <c r="AG25" s="30" t="s">
        <v>199</v>
      </c>
      <c r="AH25" s="30">
        <v>0.0</v>
      </c>
      <c r="AI25" s="30" t="s">
        <v>199</v>
      </c>
      <c r="AJ25" s="30">
        <v>0.0</v>
      </c>
      <c r="AK25" s="32" t="s">
        <v>486</v>
      </c>
      <c r="AL25" s="25"/>
      <c r="AM25" s="25"/>
      <c r="AN25" s="25"/>
      <c r="AO25" s="25"/>
      <c r="AP25" s="25"/>
    </row>
    <row r="26" ht="15.75" customHeight="1">
      <c r="A26" s="16" t="s">
        <v>167</v>
      </c>
      <c r="B26" s="16">
        <v>2016.0</v>
      </c>
      <c r="C26" s="16" t="s">
        <v>476</v>
      </c>
      <c r="D26" s="16">
        <v>14.0</v>
      </c>
      <c r="E26" s="16" t="s">
        <v>176</v>
      </c>
      <c r="F26" s="16" t="s">
        <v>519</v>
      </c>
      <c r="G26" s="16" t="s">
        <v>182</v>
      </c>
      <c r="H26" s="16"/>
      <c r="I26" s="16"/>
      <c r="J26" s="37"/>
      <c r="K26" s="38" t="s">
        <v>520</v>
      </c>
      <c r="L26" s="22" t="s">
        <v>176</v>
      </c>
      <c r="M26" s="19">
        <v>40.0</v>
      </c>
      <c r="N26" s="21" t="s">
        <v>406</v>
      </c>
      <c r="O26" s="16" t="s">
        <v>406</v>
      </c>
      <c r="P26" s="21">
        <v>0.4166666666666667</v>
      </c>
      <c r="Q26" s="16" t="s">
        <v>523</v>
      </c>
      <c r="R26" s="22" t="s">
        <v>194</v>
      </c>
      <c r="S26" s="16" t="s">
        <v>197</v>
      </c>
      <c r="T26" s="16" t="s">
        <v>221</v>
      </c>
      <c r="U26" s="16">
        <v>171.0</v>
      </c>
      <c r="V26" s="23" t="s">
        <v>199</v>
      </c>
      <c r="W26" s="23" t="s">
        <v>199</v>
      </c>
      <c r="X26" s="23" t="s">
        <v>199</v>
      </c>
      <c r="Y26" s="23">
        <v>0.0</v>
      </c>
      <c r="Z26" s="23">
        <v>0.0</v>
      </c>
      <c r="AA26" s="23" t="s">
        <v>199</v>
      </c>
      <c r="AB26" s="23" t="s">
        <v>199</v>
      </c>
      <c r="AC26" s="16">
        <v>20576.0</v>
      </c>
      <c r="AD26" s="16">
        <v>1226337.0</v>
      </c>
      <c r="AE26" s="23" t="s">
        <v>199</v>
      </c>
      <c r="AF26" s="23" t="s">
        <v>199</v>
      </c>
      <c r="AG26" s="23" t="s">
        <v>199</v>
      </c>
      <c r="AH26" s="23">
        <v>0.0</v>
      </c>
      <c r="AI26" s="23" t="s">
        <v>199</v>
      </c>
      <c r="AJ26" s="23">
        <v>0.0</v>
      </c>
      <c r="AK26" s="24" t="s">
        <v>520</v>
      </c>
      <c r="AL26" s="25"/>
      <c r="AM26" s="25"/>
      <c r="AN26" s="25"/>
      <c r="AO26" s="25"/>
      <c r="AP26" s="25"/>
    </row>
    <row r="27" ht="15.75" customHeight="1">
      <c r="A27" s="26" t="s">
        <v>167</v>
      </c>
      <c r="B27" s="26">
        <v>2016.0</v>
      </c>
      <c r="C27" s="26" t="s">
        <v>476</v>
      </c>
      <c r="D27" s="26">
        <v>19.0</v>
      </c>
      <c r="E27" s="26" t="s">
        <v>176</v>
      </c>
      <c r="F27" s="26" t="s">
        <v>527</v>
      </c>
      <c r="G27" s="26" t="s">
        <v>182</v>
      </c>
      <c r="H27" s="26"/>
      <c r="I27" s="26"/>
      <c r="J27" s="26"/>
      <c r="K27" s="36">
        <v>17.40118</v>
      </c>
      <c r="L27" s="36">
        <v>-63.19963</v>
      </c>
      <c r="M27" s="27">
        <v>27.0</v>
      </c>
      <c r="N27" s="28" t="s">
        <v>385</v>
      </c>
      <c r="O27" s="26" t="s">
        <v>386</v>
      </c>
      <c r="P27" s="28">
        <v>0.4375</v>
      </c>
      <c r="Q27" s="26" t="s">
        <v>523</v>
      </c>
      <c r="R27" s="29" t="s">
        <v>194</v>
      </c>
      <c r="S27" s="26" t="s">
        <v>197</v>
      </c>
      <c r="T27" s="26" t="s">
        <v>198</v>
      </c>
      <c r="U27" s="26">
        <v>155.0</v>
      </c>
      <c r="V27" s="30" t="s">
        <v>199</v>
      </c>
      <c r="W27" s="30" t="s">
        <v>199</v>
      </c>
      <c r="X27" s="30" t="s">
        <v>199</v>
      </c>
      <c r="Y27" s="30">
        <v>0.0</v>
      </c>
      <c r="Z27" s="30">
        <v>0.0</v>
      </c>
      <c r="AA27" s="30" t="s">
        <v>199</v>
      </c>
      <c r="AB27" s="30" t="s">
        <v>199</v>
      </c>
      <c r="AC27" s="26">
        <v>20577.0</v>
      </c>
      <c r="AD27" s="26">
        <v>1226338.0</v>
      </c>
      <c r="AE27" s="30" t="s">
        <v>199</v>
      </c>
      <c r="AF27" s="30" t="s">
        <v>199</v>
      </c>
      <c r="AG27" s="30" t="s">
        <v>199</v>
      </c>
      <c r="AH27" s="30">
        <v>0.0</v>
      </c>
      <c r="AI27" s="30" t="s">
        <v>199</v>
      </c>
      <c r="AJ27" s="30">
        <v>0.0</v>
      </c>
      <c r="AK27" s="32" t="s">
        <v>532</v>
      </c>
      <c r="AL27" s="25"/>
      <c r="AM27" s="25"/>
      <c r="AN27" s="25"/>
      <c r="AO27" s="25"/>
      <c r="AP27" s="25"/>
    </row>
    <row r="28" ht="15.75" customHeight="1">
      <c r="A28" s="16" t="s">
        <v>167</v>
      </c>
      <c r="B28" s="16">
        <v>2016.0</v>
      </c>
      <c r="C28" s="16" t="s">
        <v>476</v>
      </c>
      <c r="D28" s="16">
        <v>19.0</v>
      </c>
      <c r="E28" s="16" t="s">
        <v>176</v>
      </c>
      <c r="F28" s="16" t="s">
        <v>535</v>
      </c>
      <c r="G28" s="16" t="s">
        <v>182</v>
      </c>
      <c r="H28" s="16"/>
      <c r="I28" s="16"/>
      <c r="J28" s="16"/>
      <c r="K28" s="33">
        <v>17.40118</v>
      </c>
      <c r="L28" s="33">
        <v>-63.19963</v>
      </c>
      <c r="M28" s="19">
        <v>27.0</v>
      </c>
      <c r="N28" s="21" t="s">
        <v>385</v>
      </c>
      <c r="O28" s="16" t="s">
        <v>386</v>
      </c>
      <c r="P28" s="21">
        <v>0.4895833333333333</v>
      </c>
      <c r="Q28" s="16" t="s">
        <v>523</v>
      </c>
      <c r="R28" s="22" t="s">
        <v>194</v>
      </c>
      <c r="S28" s="16" t="s">
        <v>197</v>
      </c>
      <c r="T28" s="16" t="s">
        <v>221</v>
      </c>
      <c r="U28" s="16">
        <v>148.0</v>
      </c>
      <c r="V28" s="23" t="s">
        <v>199</v>
      </c>
      <c r="W28" s="23" t="s">
        <v>199</v>
      </c>
      <c r="X28" s="23" t="s">
        <v>199</v>
      </c>
      <c r="Y28" s="23">
        <v>0.0</v>
      </c>
      <c r="Z28" s="23">
        <v>0.0</v>
      </c>
      <c r="AA28" s="23" t="s">
        <v>199</v>
      </c>
      <c r="AB28" s="23" t="s">
        <v>199</v>
      </c>
      <c r="AC28" s="16">
        <v>20578.0</v>
      </c>
      <c r="AD28" s="16">
        <v>1226339.0</v>
      </c>
      <c r="AE28" s="23" t="s">
        <v>199</v>
      </c>
      <c r="AF28" s="23" t="s">
        <v>199</v>
      </c>
      <c r="AG28" s="23" t="s">
        <v>199</v>
      </c>
      <c r="AH28" s="23">
        <v>0.0</v>
      </c>
      <c r="AI28" s="23" t="s">
        <v>199</v>
      </c>
      <c r="AJ28" s="23">
        <v>0.0</v>
      </c>
      <c r="AK28" s="24" t="s">
        <v>532</v>
      </c>
      <c r="AL28" s="25"/>
      <c r="AM28" s="25"/>
      <c r="AN28" s="25"/>
      <c r="AO28" s="25"/>
      <c r="AP28" s="25"/>
    </row>
    <row r="29" ht="15.75" customHeight="1">
      <c r="A29" s="26" t="s">
        <v>167</v>
      </c>
      <c r="B29" s="26">
        <v>2016.0</v>
      </c>
      <c r="C29" s="26" t="s">
        <v>476</v>
      </c>
      <c r="D29" s="26">
        <v>19.0</v>
      </c>
      <c r="E29" s="26" t="s">
        <v>176</v>
      </c>
      <c r="F29" s="26" t="s">
        <v>543</v>
      </c>
      <c r="G29" s="26" t="s">
        <v>182</v>
      </c>
      <c r="H29" s="26"/>
      <c r="I29" s="26"/>
      <c r="J29" s="26"/>
      <c r="K29" s="36">
        <v>17.40118</v>
      </c>
      <c r="L29" s="36">
        <v>-63.19963</v>
      </c>
      <c r="M29" s="27">
        <v>27.0</v>
      </c>
      <c r="N29" s="28" t="s">
        <v>385</v>
      </c>
      <c r="O29" s="26" t="s">
        <v>386</v>
      </c>
      <c r="P29" s="28">
        <v>0.5416666666666666</v>
      </c>
      <c r="Q29" s="26" t="s">
        <v>523</v>
      </c>
      <c r="R29" s="29" t="s">
        <v>194</v>
      </c>
      <c r="S29" s="26" t="s">
        <v>197</v>
      </c>
      <c r="T29" s="26" t="s">
        <v>221</v>
      </c>
      <c r="U29" s="26">
        <v>102.0</v>
      </c>
      <c r="V29" s="30" t="s">
        <v>199</v>
      </c>
      <c r="W29" s="30" t="s">
        <v>199</v>
      </c>
      <c r="X29" s="30" t="s">
        <v>199</v>
      </c>
      <c r="Y29" s="30">
        <v>0.0</v>
      </c>
      <c r="Z29" s="30">
        <v>0.0</v>
      </c>
      <c r="AA29" s="30" t="s">
        <v>199</v>
      </c>
      <c r="AB29" s="30" t="s">
        <v>199</v>
      </c>
      <c r="AC29" s="26">
        <v>20579.0</v>
      </c>
      <c r="AD29" s="26">
        <v>1226340.0</v>
      </c>
      <c r="AE29" s="30" t="s">
        <v>199</v>
      </c>
      <c r="AF29" s="30" t="s">
        <v>199</v>
      </c>
      <c r="AG29" s="30" t="s">
        <v>199</v>
      </c>
      <c r="AH29" s="30">
        <v>0.0</v>
      </c>
      <c r="AI29" s="30" t="s">
        <v>199</v>
      </c>
      <c r="AJ29" s="30">
        <v>0.0</v>
      </c>
      <c r="AK29" s="32" t="s">
        <v>532</v>
      </c>
      <c r="AL29" s="25"/>
      <c r="AM29" s="25"/>
      <c r="AN29" s="25"/>
      <c r="AO29" s="25"/>
      <c r="AP29" s="25"/>
    </row>
    <row r="30" ht="15.75" hidden="1" customHeight="1">
      <c r="A30" s="16" t="s">
        <v>167</v>
      </c>
      <c r="B30" s="16">
        <v>2014.0</v>
      </c>
      <c r="C30" s="16" t="s">
        <v>400</v>
      </c>
      <c r="D30" s="16">
        <v>23.0</v>
      </c>
      <c r="E30" s="16" t="s">
        <v>176</v>
      </c>
      <c r="F30" s="16" t="s">
        <v>199</v>
      </c>
      <c r="G30" s="16" t="s">
        <v>182</v>
      </c>
      <c r="H30" s="16"/>
      <c r="I30" s="16"/>
      <c r="J30" s="16"/>
      <c r="K30" s="38">
        <v>17.64614</v>
      </c>
      <c r="L30" s="38">
        <v>-63.26499</v>
      </c>
      <c r="M30" s="16" t="s">
        <v>176</v>
      </c>
      <c r="N30" s="16" t="s">
        <v>188</v>
      </c>
      <c r="O30" s="16" t="s">
        <v>192</v>
      </c>
      <c r="P30" s="21">
        <v>0.5416666666666666</v>
      </c>
      <c r="Q30" s="16" t="s">
        <v>176</v>
      </c>
      <c r="R30" s="22" t="s">
        <v>194</v>
      </c>
      <c r="S30" s="16" t="s">
        <v>197</v>
      </c>
      <c r="T30" s="16" t="s">
        <v>198</v>
      </c>
      <c r="U30" s="16">
        <v>150.0</v>
      </c>
      <c r="V30" s="23" t="s">
        <v>199</v>
      </c>
      <c r="W30" s="23" t="s">
        <v>199</v>
      </c>
      <c r="X30" s="23" t="s">
        <v>199</v>
      </c>
      <c r="Y30" s="23">
        <v>0.0</v>
      </c>
      <c r="Z30" s="23">
        <v>0.0</v>
      </c>
      <c r="AA30" s="23" t="s">
        <v>199</v>
      </c>
      <c r="AB30" s="23" t="s">
        <v>199</v>
      </c>
      <c r="AC30" s="23" t="s">
        <v>199</v>
      </c>
      <c r="AD30" s="16">
        <v>23809.0</v>
      </c>
      <c r="AE30" s="23" t="s">
        <v>199</v>
      </c>
      <c r="AF30" s="23" t="s">
        <v>199</v>
      </c>
      <c r="AG30" s="23" t="s">
        <v>199</v>
      </c>
      <c r="AH30" s="23">
        <v>0.0</v>
      </c>
      <c r="AI30" s="23" t="s">
        <v>199</v>
      </c>
      <c r="AJ30" s="23">
        <v>0.0</v>
      </c>
      <c r="AK30" s="24"/>
      <c r="AL30" s="25"/>
      <c r="AM30" s="25"/>
      <c r="AN30" s="25"/>
      <c r="AO30" s="25"/>
      <c r="AP30" s="25"/>
    </row>
    <row r="31" ht="15.75" hidden="1" customHeight="1">
      <c r="A31" s="26" t="s">
        <v>167</v>
      </c>
      <c r="B31" s="26">
        <v>2015.0</v>
      </c>
      <c r="C31" s="26" t="s">
        <v>400</v>
      </c>
      <c r="D31" s="26">
        <v>23.0</v>
      </c>
      <c r="E31" s="26" t="s">
        <v>176</v>
      </c>
      <c r="F31" s="26" t="s">
        <v>199</v>
      </c>
      <c r="G31" s="26" t="s">
        <v>182</v>
      </c>
      <c r="H31" s="26"/>
      <c r="I31" s="26"/>
      <c r="J31" s="26"/>
      <c r="K31" s="39">
        <v>17.64614</v>
      </c>
      <c r="L31" s="39">
        <v>-63.26499</v>
      </c>
      <c r="M31" s="26" t="s">
        <v>176</v>
      </c>
      <c r="N31" s="26" t="s">
        <v>188</v>
      </c>
      <c r="O31" s="26" t="s">
        <v>192</v>
      </c>
      <c r="P31" s="28">
        <v>0.5694444444444444</v>
      </c>
      <c r="Q31" s="26" t="s">
        <v>176</v>
      </c>
      <c r="R31" s="29" t="s">
        <v>194</v>
      </c>
      <c r="S31" s="26" t="s">
        <v>197</v>
      </c>
      <c r="T31" s="26" t="s">
        <v>221</v>
      </c>
      <c r="U31" s="26">
        <v>184.0</v>
      </c>
      <c r="V31" s="30" t="s">
        <v>199</v>
      </c>
      <c r="W31" s="30" t="s">
        <v>199</v>
      </c>
      <c r="X31" s="30" t="s">
        <v>199</v>
      </c>
      <c r="Y31" s="30">
        <v>0.0</v>
      </c>
      <c r="Z31" s="30">
        <v>0.0</v>
      </c>
      <c r="AA31" s="30" t="s">
        <v>199</v>
      </c>
      <c r="AB31" s="30" t="s">
        <v>199</v>
      </c>
      <c r="AC31" s="30" t="s">
        <v>199</v>
      </c>
      <c r="AD31" s="26">
        <v>23810.0</v>
      </c>
      <c r="AE31" s="30" t="s">
        <v>199</v>
      </c>
      <c r="AF31" s="30" t="s">
        <v>199</v>
      </c>
      <c r="AG31" s="30" t="s">
        <v>199</v>
      </c>
      <c r="AH31" s="30">
        <v>0.0</v>
      </c>
      <c r="AI31" s="30" t="s">
        <v>199</v>
      </c>
      <c r="AJ31" s="30">
        <v>0.0</v>
      </c>
      <c r="AK31" s="32"/>
      <c r="AL31" s="25"/>
      <c r="AM31" s="25"/>
      <c r="AN31" s="25"/>
      <c r="AO31" s="25"/>
      <c r="AP31" s="25"/>
    </row>
    <row r="32" ht="15.75" hidden="1" customHeight="1">
      <c r="A32" s="16" t="s">
        <v>167</v>
      </c>
      <c r="B32" s="16">
        <v>2014.0</v>
      </c>
      <c r="C32" s="16" t="s">
        <v>400</v>
      </c>
      <c r="D32" s="16">
        <v>24.0</v>
      </c>
      <c r="E32" s="16" t="s">
        <v>176</v>
      </c>
      <c r="F32" s="16" t="s">
        <v>199</v>
      </c>
      <c r="G32" s="16" t="s">
        <v>182</v>
      </c>
      <c r="H32" s="16"/>
      <c r="I32" s="16"/>
      <c r="J32" s="16"/>
      <c r="K32" s="38">
        <v>17.63205</v>
      </c>
      <c r="L32" s="38">
        <v>-63.2743</v>
      </c>
      <c r="M32" s="16" t="s">
        <v>176</v>
      </c>
      <c r="N32" s="16" t="s">
        <v>188</v>
      </c>
      <c r="O32" s="16" t="s">
        <v>232</v>
      </c>
      <c r="P32" s="21">
        <v>0.3958333333333333</v>
      </c>
      <c r="Q32" s="16" t="s">
        <v>176</v>
      </c>
      <c r="R32" s="22" t="s">
        <v>194</v>
      </c>
      <c r="S32" s="16" t="s">
        <v>197</v>
      </c>
      <c r="T32" s="16" t="s">
        <v>221</v>
      </c>
      <c r="U32" s="16">
        <v>180.0</v>
      </c>
      <c r="V32" s="23" t="s">
        <v>199</v>
      </c>
      <c r="W32" s="23" t="s">
        <v>199</v>
      </c>
      <c r="X32" s="23" t="s">
        <v>199</v>
      </c>
      <c r="Y32" s="23">
        <v>0.0</v>
      </c>
      <c r="Z32" s="23">
        <v>0.0</v>
      </c>
      <c r="AA32" s="23" t="s">
        <v>199</v>
      </c>
      <c r="AB32" s="23" t="s">
        <v>199</v>
      </c>
      <c r="AC32" s="23" t="s">
        <v>199</v>
      </c>
      <c r="AD32" s="16">
        <v>23811.0</v>
      </c>
      <c r="AE32" s="23" t="s">
        <v>199</v>
      </c>
      <c r="AF32" s="23" t="s">
        <v>199</v>
      </c>
      <c r="AG32" s="23" t="s">
        <v>199</v>
      </c>
      <c r="AH32" s="23">
        <v>0.0</v>
      </c>
      <c r="AI32" s="23" t="s">
        <v>199</v>
      </c>
      <c r="AJ32" s="23">
        <v>0.0</v>
      </c>
      <c r="AK32" s="24"/>
      <c r="AL32" s="25"/>
      <c r="AM32" s="25"/>
      <c r="AN32" s="25"/>
      <c r="AO32" s="25"/>
      <c r="AP32" s="25"/>
    </row>
    <row r="33" ht="15.75" hidden="1" customHeight="1">
      <c r="A33" s="26" t="s">
        <v>167</v>
      </c>
      <c r="B33" s="26">
        <v>2015.0</v>
      </c>
      <c r="C33" s="26" t="s">
        <v>400</v>
      </c>
      <c r="D33" s="26">
        <v>24.0</v>
      </c>
      <c r="E33" s="26" t="s">
        <v>176</v>
      </c>
      <c r="F33" s="26" t="s">
        <v>199</v>
      </c>
      <c r="G33" s="26" t="s">
        <v>182</v>
      </c>
      <c r="H33" s="26"/>
      <c r="I33" s="26"/>
      <c r="J33" s="26"/>
      <c r="K33" s="39">
        <v>17.6328</v>
      </c>
      <c r="L33" s="39">
        <v>-63.27462</v>
      </c>
      <c r="M33" s="26" t="s">
        <v>176</v>
      </c>
      <c r="N33" s="26" t="s">
        <v>188</v>
      </c>
      <c r="O33" s="26" t="s">
        <v>241</v>
      </c>
      <c r="P33" s="28">
        <v>0.5243055555555556</v>
      </c>
      <c r="Q33" s="26" t="s">
        <v>176</v>
      </c>
      <c r="R33" s="29" t="s">
        <v>194</v>
      </c>
      <c r="S33" s="26" t="s">
        <v>197</v>
      </c>
      <c r="T33" s="26" t="s">
        <v>221</v>
      </c>
      <c r="U33" s="26">
        <v>131.0</v>
      </c>
      <c r="V33" s="30" t="s">
        <v>199</v>
      </c>
      <c r="W33" s="30" t="s">
        <v>199</v>
      </c>
      <c r="X33" s="30" t="s">
        <v>199</v>
      </c>
      <c r="Y33" s="30">
        <v>0.0</v>
      </c>
      <c r="Z33" s="30">
        <v>0.0</v>
      </c>
      <c r="AA33" s="30" t="s">
        <v>199</v>
      </c>
      <c r="AB33" s="30" t="s">
        <v>199</v>
      </c>
      <c r="AC33" s="30" t="s">
        <v>199</v>
      </c>
      <c r="AD33" s="26">
        <v>23812.0</v>
      </c>
      <c r="AE33" s="30" t="s">
        <v>199</v>
      </c>
      <c r="AF33" s="30" t="s">
        <v>199</v>
      </c>
      <c r="AG33" s="30" t="s">
        <v>199</v>
      </c>
      <c r="AH33" s="30">
        <v>0.0</v>
      </c>
      <c r="AI33" s="30" t="s">
        <v>199</v>
      </c>
      <c r="AJ33" s="30">
        <v>0.0</v>
      </c>
      <c r="AK33" s="32"/>
      <c r="AL33" s="25"/>
      <c r="AM33" s="25"/>
      <c r="AN33" s="25"/>
      <c r="AO33" s="25"/>
      <c r="AP33" s="25"/>
    </row>
    <row r="34" ht="15.75" customHeight="1">
      <c r="A34" s="16" t="s">
        <v>167</v>
      </c>
      <c r="B34" s="16">
        <v>2016.0</v>
      </c>
      <c r="C34" s="16" t="s">
        <v>400</v>
      </c>
      <c r="D34" s="16">
        <v>24.0</v>
      </c>
      <c r="E34" s="16" t="s">
        <v>176</v>
      </c>
      <c r="F34" s="16" t="s">
        <v>199</v>
      </c>
      <c r="G34" s="16" t="s">
        <v>182</v>
      </c>
      <c r="H34" s="16"/>
      <c r="I34" s="16"/>
      <c r="J34" s="16"/>
      <c r="K34" s="38">
        <v>17.6328</v>
      </c>
      <c r="L34" s="38">
        <v>-63.27462</v>
      </c>
      <c r="M34" s="16" t="s">
        <v>176</v>
      </c>
      <c r="N34" s="16" t="s">
        <v>188</v>
      </c>
      <c r="O34" s="16" t="s">
        <v>241</v>
      </c>
      <c r="P34" s="21">
        <v>0.5347222222222222</v>
      </c>
      <c r="Q34" s="16" t="s">
        <v>176</v>
      </c>
      <c r="R34" s="22" t="s">
        <v>194</v>
      </c>
      <c r="S34" s="16" t="s">
        <v>197</v>
      </c>
      <c r="T34" s="16" t="s">
        <v>198</v>
      </c>
      <c r="U34" s="16">
        <v>115.0</v>
      </c>
      <c r="V34" s="23" t="s">
        <v>199</v>
      </c>
      <c r="W34" s="23" t="s">
        <v>199</v>
      </c>
      <c r="X34" s="23" t="s">
        <v>199</v>
      </c>
      <c r="Y34" s="23">
        <v>0.0</v>
      </c>
      <c r="Z34" s="23">
        <v>0.0</v>
      </c>
      <c r="AA34" s="23" t="s">
        <v>199</v>
      </c>
      <c r="AB34" s="23" t="s">
        <v>199</v>
      </c>
      <c r="AC34" s="23" t="s">
        <v>199</v>
      </c>
      <c r="AD34" s="16">
        <v>23813.0</v>
      </c>
      <c r="AE34" s="23" t="s">
        <v>199</v>
      </c>
      <c r="AF34" s="23" t="s">
        <v>199</v>
      </c>
      <c r="AG34" s="23" t="s">
        <v>199</v>
      </c>
      <c r="AH34" s="23">
        <v>0.0</v>
      </c>
      <c r="AI34" s="23" t="s">
        <v>199</v>
      </c>
      <c r="AJ34" s="23">
        <v>0.0</v>
      </c>
      <c r="AK34" s="24"/>
      <c r="AL34" s="25"/>
      <c r="AM34" s="25"/>
      <c r="AN34" s="25"/>
      <c r="AO34" s="25"/>
      <c r="AP34" s="25"/>
    </row>
    <row r="35" ht="15.75" hidden="1" customHeight="1">
      <c r="A35" s="26" t="s">
        <v>167</v>
      </c>
      <c r="B35" s="26">
        <v>2017.0</v>
      </c>
      <c r="C35" s="26" t="s">
        <v>400</v>
      </c>
      <c r="D35" s="26">
        <v>24.0</v>
      </c>
      <c r="E35" s="26" t="s">
        <v>176</v>
      </c>
      <c r="F35" s="26" t="s">
        <v>199</v>
      </c>
      <c r="G35" s="26" t="s">
        <v>182</v>
      </c>
      <c r="H35" s="26"/>
      <c r="I35" s="26"/>
      <c r="J35" s="26"/>
      <c r="K35" s="39">
        <v>17.6328</v>
      </c>
      <c r="L35" s="39">
        <v>-63.27462</v>
      </c>
      <c r="M35" s="26" t="s">
        <v>176</v>
      </c>
      <c r="N35" s="26" t="s">
        <v>188</v>
      </c>
      <c r="O35" s="26" t="s">
        <v>241</v>
      </c>
      <c r="P35" s="28">
        <v>0.5729166666666666</v>
      </c>
      <c r="Q35" s="26" t="s">
        <v>176</v>
      </c>
      <c r="R35" s="29" t="s">
        <v>194</v>
      </c>
      <c r="S35" s="26" t="s">
        <v>197</v>
      </c>
      <c r="T35" s="26" t="s">
        <v>221</v>
      </c>
      <c r="U35" s="26">
        <v>125.0</v>
      </c>
      <c r="V35" s="30" t="s">
        <v>199</v>
      </c>
      <c r="W35" s="30" t="s">
        <v>199</v>
      </c>
      <c r="X35" s="30" t="s">
        <v>199</v>
      </c>
      <c r="Y35" s="30">
        <v>0.0</v>
      </c>
      <c r="Z35" s="30">
        <v>0.0</v>
      </c>
      <c r="AA35" s="30" t="s">
        <v>199</v>
      </c>
      <c r="AB35" s="30" t="s">
        <v>199</v>
      </c>
      <c r="AC35" s="30" t="s">
        <v>199</v>
      </c>
      <c r="AD35" s="26">
        <v>23814.0</v>
      </c>
      <c r="AE35" s="30" t="s">
        <v>199</v>
      </c>
      <c r="AF35" s="30" t="s">
        <v>199</v>
      </c>
      <c r="AG35" s="30" t="s">
        <v>199</v>
      </c>
      <c r="AH35" s="30">
        <v>0.0</v>
      </c>
      <c r="AI35" s="30" t="s">
        <v>199</v>
      </c>
      <c r="AJ35" s="30">
        <v>0.0</v>
      </c>
      <c r="AK35" s="32"/>
      <c r="AL35" s="25"/>
      <c r="AM35" s="25"/>
      <c r="AN35" s="25"/>
      <c r="AO35" s="25"/>
      <c r="AP35" s="25"/>
    </row>
    <row r="36" ht="15.75" hidden="1" customHeight="1">
      <c r="A36" s="16" t="s">
        <v>167</v>
      </c>
      <c r="B36" s="16">
        <v>2015.0</v>
      </c>
      <c r="C36" s="16" t="s">
        <v>400</v>
      </c>
      <c r="D36" s="16">
        <v>25.0</v>
      </c>
      <c r="E36" s="16" t="s">
        <v>176</v>
      </c>
      <c r="F36" s="16" t="s">
        <v>199</v>
      </c>
      <c r="G36" s="16" t="s">
        <v>575</v>
      </c>
      <c r="H36" s="16"/>
      <c r="I36" s="16"/>
      <c r="J36" s="16"/>
      <c r="K36" s="38">
        <v>17.64888</v>
      </c>
      <c r="L36" s="38">
        <v>-63.2311</v>
      </c>
      <c r="M36" s="16" t="s">
        <v>176</v>
      </c>
      <c r="N36" s="16" t="s">
        <v>188</v>
      </c>
      <c r="O36" s="16" t="s">
        <v>275</v>
      </c>
      <c r="P36" s="21">
        <v>0.5104166666666666</v>
      </c>
      <c r="Q36" s="16" t="s">
        <v>176</v>
      </c>
      <c r="R36" s="22" t="s">
        <v>194</v>
      </c>
      <c r="S36" s="16" t="s">
        <v>197</v>
      </c>
      <c r="T36" s="16" t="s">
        <v>198</v>
      </c>
      <c r="U36" s="16">
        <v>178.0</v>
      </c>
      <c r="V36" s="23" t="s">
        <v>199</v>
      </c>
      <c r="W36" s="23" t="s">
        <v>199</v>
      </c>
      <c r="X36" s="23" t="s">
        <v>199</v>
      </c>
      <c r="Y36" s="23">
        <v>0.0</v>
      </c>
      <c r="Z36" s="23">
        <v>0.0</v>
      </c>
      <c r="AA36" s="23" t="s">
        <v>199</v>
      </c>
      <c r="AB36" s="23" t="s">
        <v>199</v>
      </c>
      <c r="AC36" s="23" t="s">
        <v>199</v>
      </c>
      <c r="AD36" s="16">
        <v>23815.0</v>
      </c>
      <c r="AE36" s="23" t="s">
        <v>199</v>
      </c>
      <c r="AF36" s="23" t="s">
        <v>199</v>
      </c>
      <c r="AG36" s="23" t="s">
        <v>199</v>
      </c>
      <c r="AH36" s="23">
        <v>0.0</v>
      </c>
      <c r="AI36" s="23" t="s">
        <v>199</v>
      </c>
      <c r="AJ36" s="23">
        <v>0.0</v>
      </c>
      <c r="AK36" s="24"/>
      <c r="AL36" s="25"/>
      <c r="AM36" s="25"/>
      <c r="AN36" s="25"/>
      <c r="AO36" s="25"/>
      <c r="AP36" s="25"/>
    </row>
    <row r="37" ht="15.75" hidden="1" customHeight="1">
      <c r="A37" s="26" t="s">
        <v>167</v>
      </c>
      <c r="B37" s="26">
        <v>2014.0</v>
      </c>
      <c r="C37" s="26" t="s">
        <v>400</v>
      </c>
      <c r="D37" s="26">
        <v>26.0</v>
      </c>
      <c r="E37" s="26" t="s">
        <v>176</v>
      </c>
      <c r="F37" s="26" t="s">
        <v>199</v>
      </c>
      <c r="G37" s="26" t="s">
        <v>575</v>
      </c>
      <c r="H37" s="26"/>
      <c r="I37" s="26"/>
      <c r="J37" s="26"/>
      <c r="K37" s="39">
        <v>17.61771</v>
      </c>
      <c r="L37" s="39">
        <v>-63.22617</v>
      </c>
      <c r="M37" s="26" t="s">
        <v>176</v>
      </c>
      <c r="N37" s="26" t="s">
        <v>188</v>
      </c>
      <c r="O37" s="26" t="s">
        <v>304</v>
      </c>
      <c r="P37" s="28">
        <v>0.7083333333333334</v>
      </c>
      <c r="Q37" s="26" t="s">
        <v>176</v>
      </c>
      <c r="R37" s="29" t="s">
        <v>194</v>
      </c>
      <c r="S37" s="26" t="s">
        <v>197</v>
      </c>
      <c r="T37" s="26" t="s">
        <v>198</v>
      </c>
      <c r="U37" s="26">
        <v>163.0</v>
      </c>
      <c r="V37" s="30" t="s">
        <v>199</v>
      </c>
      <c r="W37" s="30" t="s">
        <v>199</v>
      </c>
      <c r="X37" s="30" t="s">
        <v>199</v>
      </c>
      <c r="Y37" s="30">
        <v>0.0</v>
      </c>
      <c r="Z37" s="30">
        <v>0.0</v>
      </c>
      <c r="AA37" s="30" t="s">
        <v>199</v>
      </c>
      <c r="AB37" s="30" t="s">
        <v>199</v>
      </c>
      <c r="AC37" s="30" t="s">
        <v>199</v>
      </c>
      <c r="AD37" s="26">
        <v>23816.0</v>
      </c>
      <c r="AE37" s="30" t="s">
        <v>199</v>
      </c>
      <c r="AF37" s="30" t="s">
        <v>199</v>
      </c>
      <c r="AG37" s="30" t="s">
        <v>199</v>
      </c>
      <c r="AH37" s="30">
        <v>0.0</v>
      </c>
      <c r="AI37" s="30" t="s">
        <v>199</v>
      </c>
      <c r="AJ37" s="30">
        <v>0.0</v>
      </c>
      <c r="AK37" s="32"/>
      <c r="AL37" s="25"/>
      <c r="AM37" s="25"/>
      <c r="AN37" s="25"/>
      <c r="AO37" s="25"/>
      <c r="AP37" s="25"/>
    </row>
    <row r="38" ht="15.75" hidden="1" customHeight="1">
      <c r="A38" s="16" t="s">
        <v>167</v>
      </c>
      <c r="B38" s="16">
        <v>2015.0</v>
      </c>
      <c r="C38" s="16" t="s">
        <v>400</v>
      </c>
      <c r="D38" s="16">
        <v>29.0</v>
      </c>
      <c r="E38" s="16" t="s">
        <v>176</v>
      </c>
      <c r="F38" s="16" t="s">
        <v>199</v>
      </c>
      <c r="G38" s="16" t="s">
        <v>329</v>
      </c>
      <c r="H38" s="16"/>
      <c r="I38" s="16"/>
      <c r="J38" s="16"/>
      <c r="K38" s="38">
        <v>17.64888</v>
      </c>
      <c r="L38" s="38">
        <v>-63.2311</v>
      </c>
      <c r="M38" s="16" t="s">
        <v>176</v>
      </c>
      <c r="N38" s="16" t="s">
        <v>188</v>
      </c>
      <c r="O38" s="16" t="s">
        <v>341</v>
      </c>
      <c r="P38" s="21">
        <v>0.4548611111111111</v>
      </c>
      <c r="Q38" s="16" t="s">
        <v>176</v>
      </c>
      <c r="R38" s="16" t="s">
        <v>288</v>
      </c>
      <c r="S38" s="16" t="s">
        <v>23</v>
      </c>
      <c r="T38" s="16" t="s">
        <v>221</v>
      </c>
      <c r="U38" s="16">
        <v>94.0</v>
      </c>
      <c r="V38" s="23" t="s">
        <v>199</v>
      </c>
      <c r="W38" s="23" t="s">
        <v>199</v>
      </c>
      <c r="X38" s="23" t="s">
        <v>199</v>
      </c>
      <c r="Y38" s="23">
        <v>0.0</v>
      </c>
      <c r="Z38" s="23">
        <v>0.0</v>
      </c>
      <c r="AA38" s="23" t="s">
        <v>199</v>
      </c>
      <c r="AB38" s="23" t="s">
        <v>199</v>
      </c>
      <c r="AC38" s="23" t="s">
        <v>199</v>
      </c>
      <c r="AD38" s="16">
        <v>23817.0</v>
      </c>
      <c r="AE38" s="23" t="s">
        <v>199</v>
      </c>
      <c r="AF38" s="23" t="s">
        <v>199</v>
      </c>
      <c r="AG38" s="23" t="s">
        <v>199</v>
      </c>
      <c r="AH38" s="23">
        <v>0.0</v>
      </c>
      <c r="AI38" s="23" t="s">
        <v>199</v>
      </c>
      <c r="AJ38" s="23">
        <v>0.0</v>
      </c>
      <c r="AK38" s="24"/>
      <c r="AL38" s="25"/>
      <c r="AM38" s="25"/>
      <c r="AN38" s="25"/>
      <c r="AO38" s="25"/>
      <c r="AP38" s="25"/>
    </row>
    <row r="39" ht="15.75" hidden="1" customHeight="1">
      <c r="A39" s="26" t="s">
        <v>167</v>
      </c>
      <c r="B39" s="26">
        <v>2014.0</v>
      </c>
      <c r="C39" s="26" t="s">
        <v>400</v>
      </c>
      <c r="D39" s="26">
        <v>29.0</v>
      </c>
      <c r="E39" s="26" t="s">
        <v>176</v>
      </c>
      <c r="F39" s="26" t="s">
        <v>199</v>
      </c>
      <c r="G39" s="26" t="s">
        <v>329</v>
      </c>
      <c r="H39" s="26"/>
      <c r="I39" s="26"/>
      <c r="J39" s="26"/>
      <c r="K39" s="39">
        <v>17.64888</v>
      </c>
      <c r="L39" s="39">
        <v>-63.2311</v>
      </c>
      <c r="M39" s="26" t="s">
        <v>176</v>
      </c>
      <c r="N39" s="26" t="s">
        <v>188</v>
      </c>
      <c r="O39" s="26" t="s">
        <v>332</v>
      </c>
      <c r="P39" s="28">
        <v>0.4479166666666667</v>
      </c>
      <c r="Q39" s="26" t="s">
        <v>176</v>
      </c>
      <c r="R39" s="26" t="s">
        <v>288</v>
      </c>
      <c r="S39" s="26" t="s">
        <v>23</v>
      </c>
      <c r="T39" s="26" t="s">
        <v>221</v>
      </c>
      <c r="U39" s="26">
        <v>105.0</v>
      </c>
      <c r="V39" s="30" t="s">
        <v>199</v>
      </c>
      <c r="W39" s="30" t="s">
        <v>199</v>
      </c>
      <c r="X39" s="30" t="s">
        <v>199</v>
      </c>
      <c r="Y39" s="30">
        <v>0.0</v>
      </c>
      <c r="Z39" s="30">
        <v>0.0</v>
      </c>
      <c r="AA39" s="30" t="s">
        <v>199</v>
      </c>
      <c r="AB39" s="30" t="s">
        <v>199</v>
      </c>
      <c r="AC39" s="30" t="s">
        <v>199</v>
      </c>
      <c r="AD39" s="26">
        <v>23818.0</v>
      </c>
      <c r="AE39" s="30" t="s">
        <v>199</v>
      </c>
      <c r="AF39" s="30" t="s">
        <v>199</v>
      </c>
      <c r="AG39" s="30" t="s">
        <v>199</v>
      </c>
      <c r="AH39" s="30">
        <v>0.0</v>
      </c>
      <c r="AI39" s="30" t="s">
        <v>199</v>
      </c>
      <c r="AJ39" s="30">
        <v>0.0</v>
      </c>
      <c r="AK39" s="32"/>
      <c r="AL39" s="25"/>
      <c r="AM39" s="25"/>
      <c r="AN39" s="25"/>
      <c r="AO39" s="25"/>
      <c r="AP39" s="25"/>
    </row>
    <row r="40" ht="15.75" customHeight="1">
      <c r="A40" s="16" t="s">
        <v>167</v>
      </c>
      <c r="B40" s="16">
        <v>2016.0</v>
      </c>
      <c r="C40" s="16" t="s">
        <v>400</v>
      </c>
      <c r="D40" s="16">
        <v>25.0</v>
      </c>
      <c r="E40" s="16" t="s">
        <v>176</v>
      </c>
      <c r="F40" s="16" t="s">
        <v>199</v>
      </c>
      <c r="G40" s="16" t="s">
        <v>575</v>
      </c>
      <c r="H40" s="16"/>
      <c r="I40" s="16"/>
      <c r="J40" s="16"/>
      <c r="K40" s="38">
        <v>17.64888</v>
      </c>
      <c r="L40" s="38">
        <v>-63.2311</v>
      </c>
      <c r="M40" s="16" t="s">
        <v>176</v>
      </c>
      <c r="N40" s="16" t="s">
        <v>188</v>
      </c>
      <c r="O40" s="16" t="s">
        <v>275</v>
      </c>
      <c r="P40" s="21">
        <v>0.5104166666666666</v>
      </c>
      <c r="Q40" s="16" t="s">
        <v>176</v>
      </c>
      <c r="R40" s="16" t="s">
        <v>288</v>
      </c>
      <c r="S40" s="16" t="s">
        <v>23</v>
      </c>
      <c r="T40" s="16" t="s">
        <v>221</v>
      </c>
      <c r="U40" s="16">
        <v>210.0</v>
      </c>
      <c r="V40" s="23" t="s">
        <v>199</v>
      </c>
      <c r="W40" s="23" t="s">
        <v>199</v>
      </c>
      <c r="X40" s="23" t="s">
        <v>199</v>
      </c>
      <c r="Y40" s="23">
        <v>0.0</v>
      </c>
      <c r="Z40" s="23">
        <v>0.0</v>
      </c>
      <c r="AA40" s="23" t="s">
        <v>199</v>
      </c>
      <c r="AB40" s="23" t="s">
        <v>199</v>
      </c>
      <c r="AC40" s="23" t="s">
        <v>199</v>
      </c>
      <c r="AD40" s="16">
        <v>23819.0</v>
      </c>
      <c r="AE40" s="23" t="s">
        <v>199</v>
      </c>
      <c r="AF40" s="23" t="s">
        <v>199</v>
      </c>
      <c r="AG40" s="23" t="s">
        <v>199</v>
      </c>
      <c r="AH40" s="23">
        <v>0.0</v>
      </c>
      <c r="AI40" s="23" t="s">
        <v>199</v>
      </c>
      <c r="AJ40" s="23">
        <v>0.0</v>
      </c>
      <c r="AK40" s="24"/>
      <c r="AL40" s="25"/>
      <c r="AM40" s="25"/>
      <c r="AN40" s="25"/>
      <c r="AO40" s="25"/>
      <c r="AP40" s="25"/>
    </row>
    <row r="41" ht="15.75" hidden="1" customHeight="1">
      <c r="A41" s="26" t="s">
        <v>167</v>
      </c>
      <c r="B41" s="26">
        <v>2014.0</v>
      </c>
      <c r="C41" s="26" t="s">
        <v>400</v>
      </c>
      <c r="D41" s="26">
        <v>28.0</v>
      </c>
      <c r="E41" s="26" t="s">
        <v>176</v>
      </c>
      <c r="F41" s="26" t="s">
        <v>199</v>
      </c>
      <c r="G41" s="26" t="s">
        <v>575</v>
      </c>
      <c r="H41" s="26"/>
      <c r="I41" s="26"/>
      <c r="J41" s="26"/>
      <c r="K41" s="39">
        <v>17.61252</v>
      </c>
      <c r="L41" s="39">
        <v>-63.23623</v>
      </c>
      <c r="M41" s="26" t="s">
        <v>176</v>
      </c>
      <c r="N41" s="26" t="s">
        <v>188</v>
      </c>
      <c r="O41" s="26" t="s">
        <v>317</v>
      </c>
      <c r="P41" s="28">
        <v>0.8576388888888888</v>
      </c>
      <c r="Q41" s="26" t="s">
        <v>176</v>
      </c>
      <c r="R41" s="26" t="s">
        <v>288</v>
      </c>
      <c r="S41" s="26" t="s">
        <v>23</v>
      </c>
      <c r="T41" s="26" t="s">
        <v>198</v>
      </c>
      <c r="U41" s="26">
        <v>104.0</v>
      </c>
      <c r="V41" s="30" t="s">
        <v>199</v>
      </c>
      <c r="W41" s="30" t="s">
        <v>199</v>
      </c>
      <c r="X41" s="30" t="s">
        <v>199</v>
      </c>
      <c r="Y41" s="30">
        <v>0.0</v>
      </c>
      <c r="Z41" s="30">
        <v>0.0</v>
      </c>
      <c r="AA41" s="30" t="s">
        <v>199</v>
      </c>
      <c r="AB41" s="30" t="s">
        <v>199</v>
      </c>
      <c r="AC41" s="30" t="s">
        <v>199</v>
      </c>
      <c r="AD41" s="26">
        <v>23820.0</v>
      </c>
      <c r="AE41" s="30" t="s">
        <v>199</v>
      </c>
      <c r="AF41" s="30" t="s">
        <v>199</v>
      </c>
      <c r="AG41" s="30" t="s">
        <v>199</v>
      </c>
      <c r="AH41" s="30">
        <v>0.0</v>
      </c>
      <c r="AI41" s="30" t="s">
        <v>199</v>
      </c>
      <c r="AJ41" s="30">
        <v>0.0</v>
      </c>
      <c r="AK41" s="32"/>
      <c r="AL41" s="25"/>
      <c r="AM41" s="25"/>
      <c r="AN41" s="25"/>
      <c r="AO41" s="25"/>
      <c r="AP41" s="25"/>
    </row>
    <row r="42" ht="15.75" customHeight="1">
      <c r="A42" s="26" t="s">
        <v>167</v>
      </c>
      <c r="B42" s="26">
        <v>2019.0</v>
      </c>
      <c r="C42" s="26" t="s">
        <v>601</v>
      </c>
      <c r="D42" s="26">
        <v>13.0</v>
      </c>
      <c r="E42" s="26" t="s">
        <v>176</v>
      </c>
      <c r="F42" s="26" t="s">
        <v>603</v>
      </c>
      <c r="G42" s="26" t="s">
        <v>182</v>
      </c>
      <c r="H42" s="26"/>
      <c r="I42" s="26"/>
      <c r="J42" s="26"/>
      <c r="K42" s="26" t="s">
        <v>605</v>
      </c>
      <c r="L42" s="26" t="s">
        <v>606</v>
      </c>
      <c r="M42" s="26" t="s">
        <v>176</v>
      </c>
      <c r="N42" s="26" t="s">
        <v>188</v>
      </c>
      <c r="O42" s="26" t="s">
        <v>348</v>
      </c>
      <c r="P42" s="28">
        <v>0.28055555555555556</v>
      </c>
      <c r="Q42" s="26" t="s">
        <v>176</v>
      </c>
      <c r="R42" s="29" t="s">
        <v>194</v>
      </c>
      <c r="S42" s="26" t="s">
        <v>197</v>
      </c>
      <c r="T42" s="26" t="s">
        <v>221</v>
      </c>
      <c r="U42" s="26">
        <v>195.0</v>
      </c>
      <c r="V42" s="30" t="s">
        <v>199</v>
      </c>
      <c r="W42" s="30" t="s">
        <v>199</v>
      </c>
      <c r="X42" s="30" t="s">
        <v>199</v>
      </c>
      <c r="Y42" s="30">
        <v>0.0</v>
      </c>
      <c r="Z42" s="30">
        <v>0.0</v>
      </c>
      <c r="AA42" s="30" t="s">
        <v>199</v>
      </c>
      <c r="AB42" s="30" t="s">
        <v>199</v>
      </c>
      <c r="AC42" s="26" t="s">
        <v>608</v>
      </c>
      <c r="AD42" s="30" t="s">
        <v>199</v>
      </c>
      <c r="AE42" s="30" t="s">
        <v>199</v>
      </c>
      <c r="AF42" s="30" t="s">
        <v>199</v>
      </c>
      <c r="AG42" s="30" t="s">
        <v>199</v>
      </c>
      <c r="AH42" s="30">
        <v>0.0</v>
      </c>
      <c r="AI42" s="30" t="s">
        <v>199</v>
      </c>
      <c r="AJ42" s="30">
        <v>0.0</v>
      </c>
      <c r="AK42" s="32" t="s">
        <v>609</v>
      </c>
      <c r="AL42" s="25"/>
      <c r="AM42" s="25"/>
      <c r="AN42" s="25"/>
      <c r="AO42" s="25"/>
      <c r="AP42" s="25"/>
    </row>
    <row r="43" ht="15.75" customHeight="1">
      <c r="A43" s="16" t="s">
        <v>167</v>
      </c>
      <c r="B43" s="16">
        <v>2019.0</v>
      </c>
      <c r="C43" s="16" t="s">
        <v>601</v>
      </c>
      <c r="D43" s="16">
        <v>13.0</v>
      </c>
      <c r="E43" s="16" t="s">
        <v>176</v>
      </c>
      <c r="F43" s="16" t="s">
        <v>612</v>
      </c>
      <c r="G43" s="16" t="s">
        <v>182</v>
      </c>
      <c r="H43" s="16"/>
      <c r="I43" s="16"/>
      <c r="J43" s="16"/>
      <c r="K43" s="16" t="s">
        <v>605</v>
      </c>
      <c r="L43" s="16" t="s">
        <v>606</v>
      </c>
      <c r="M43" s="16" t="s">
        <v>176</v>
      </c>
      <c r="N43" s="16" t="s">
        <v>188</v>
      </c>
      <c r="O43" s="16" t="s">
        <v>613</v>
      </c>
      <c r="P43" s="21">
        <v>0.33749999999999997</v>
      </c>
      <c r="Q43" s="16" t="s">
        <v>176</v>
      </c>
      <c r="R43" s="22" t="s">
        <v>194</v>
      </c>
      <c r="S43" s="16" t="s">
        <v>197</v>
      </c>
      <c r="T43" s="16" t="s">
        <v>221</v>
      </c>
      <c r="U43" s="16">
        <v>165.0</v>
      </c>
      <c r="V43" s="23" t="s">
        <v>199</v>
      </c>
      <c r="W43" s="23" t="s">
        <v>199</v>
      </c>
      <c r="X43" s="23" t="s">
        <v>199</v>
      </c>
      <c r="Y43" s="23">
        <v>0.0</v>
      </c>
      <c r="Z43" s="23">
        <v>0.0</v>
      </c>
      <c r="AA43" s="23" t="s">
        <v>199</v>
      </c>
      <c r="AB43" s="23" t="s">
        <v>199</v>
      </c>
      <c r="AC43" s="16" t="s">
        <v>615</v>
      </c>
      <c r="AD43" s="23" t="s">
        <v>199</v>
      </c>
      <c r="AE43" s="23" t="s">
        <v>199</v>
      </c>
      <c r="AF43" s="23" t="s">
        <v>199</v>
      </c>
      <c r="AG43" s="23" t="s">
        <v>199</v>
      </c>
      <c r="AH43" s="23">
        <v>0.0</v>
      </c>
      <c r="AI43" s="23" t="s">
        <v>199</v>
      </c>
      <c r="AJ43" s="23">
        <v>0.0</v>
      </c>
      <c r="AK43" s="24"/>
      <c r="AL43" s="25"/>
      <c r="AM43" s="25"/>
      <c r="AN43" s="25"/>
      <c r="AO43" s="25"/>
      <c r="AP43" s="25"/>
    </row>
    <row r="44" ht="15.75" customHeight="1">
      <c r="A44" s="26" t="s">
        <v>167</v>
      </c>
      <c r="B44" s="26">
        <v>2019.0</v>
      </c>
      <c r="C44" s="26" t="s">
        <v>601</v>
      </c>
      <c r="D44" s="26">
        <v>13.0</v>
      </c>
      <c r="E44" s="26" t="s">
        <v>176</v>
      </c>
      <c r="F44" s="26" t="s">
        <v>618</v>
      </c>
      <c r="G44" s="26" t="s">
        <v>182</v>
      </c>
      <c r="H44" s="26"/>
      <c r="I44" s="26"/>
      <c r="J44" s="26"/>
      <c r="K44" s="26" t="s">
        <v>619</v>
      </c>
      <c r="L44" s="26" t="s">
        <v>620</v>
      </c>
      <c r="M44" s="26" t="s">
        <v>176</v>
      </c>
      <c r="N44" s="26" t="s">
        <v>188</v>
      </c>
      <c r="O44" s="26" t="s">
        <v>176</v>
      </c>
      <c r="P44" s="28">
        <v>0.46527777777777773</v>
      </c>
      <c r="Q44" s="26" t="s">
        <v>176</v>
      </c>
      <c r="R44" s="29" t="s">
        <v>194</v>
      </c>
      <c r="S44" s="26" t="s">
        <v>197</v>
      </c>
      <c r="T44" s="26" t="s">
        <v>198</v>
      </c>
      <c r="U44" s="26">
        <v>108.0</v>
      </c>
      <c r="V44" s="30" t="s">
        <v>199</v>
      </c>
      <c r="W44" s="30" t="s">
        <v>199</v>
      </c>
      <c r="X44" s="30" t="s">
        <v>199</v>
      </c>
      <c r="Y44" s="30">
        <v>0.0</v>
      </c>
      <c r="Z44" s="30">
        <v>0.0</v>
      </c>
      <c r="AA44" s="30" t="s">
        <v>199</v>
      </c>
      <c r="AB44" s="30" t="s">
        <v>199</v>
      </c>
      <c r="AC44" s="26" t="s">
        <v>624</v>
      </c>
      <c r="AD44" s="30" t="s">
        <v>199</v>
      </c>
      <c r="AE44" s="30" t="s">
        <v>199</v>
      </c>
      <c r="AF44" s="30" t="s">
        <v>199</v>
      </c>
      <c r="AG44" s="30" t="s">
        <v>199</v>
      </c>
      <c r="AH44" s="30">
        <v>0.0</v>
      </c>
      <c r="AI44" s="30" t="s">
        <v>199</v>
      </c>
      <c r="AJ44" s="30">
        <v>0.0</v>
      </c>
      <c r="AK44" s="32"/>
      <c r="AL44" s="25"/>
      <c r="AM44" s="25"/>
      <c r="AN44" s="25"/>
      <c r="AO44" s="25"/>
      <c r="AP44" s="25"/>
    </row>
    <row r="45" ht="15.75" customHeight="1">
      <c r="A45" s="16" t="s">
        <v>167</v>
      </c>
      <c r="B45" s="16">
        <v>2019.0</v>
      </c>
      <c r="C45" s="16" t="s">
        <v>601</v>
      </c>
      <c r="D45" s="16">
        <v>13.0</v>
      </c>
      <c r="E45" s="16" t="s">
        <v>176</v>
      </c>
      <c r="F45" s="16" t="s">
        <v>199</v>
      </c>
      <c r="G45" s="16" t="s">
        <v>182</v>
      </c>
      <c r="H45" s="16"/>
      <c r="I45" s="16"/>
      <c r="J45" s="16"/>
      <c r="K45" s="16" t="s">
        <v>199</v>
      </c>
      <c r="L45" s="16" t="s">
        <v>199</v>
      </c>
      <c r="M45" s="16" t="s">
        <v>176</v>
      </c>
      <c r="N45" s="16" t="s">
        <v>188</v>
      </c>
      <c r="O45" s="16" t="s">
        <v>176</v>
      </c>
      <c r="P45" s="21">
        <v>0.4791666666666667</v>
      </c>
      <c r="Q45" s="16" t="s">
        <v>176</v>
      </c>
      <c r="R45" s="16" t="s">
        <v>628</v>
      </c>
      <c r="S45" s="16" t="s">
        <v>629</v>
      </c>
      <c r="T45" s="23" t="s">
        <v>176</v>
      </c>
      <c r="U45" s="16">
        <v>138.0</v>
      </c>
      <c r="V45" s="23" t="s">
        <v>199</v>
      </c>
      <c r="W45" s="23" t="s">
        <v>199</v>
      </c>
      <c r="X45" s="23" t="s">
        <v>199</v>
      </c>
      <c r="Y45" s="23">
        <v>0.0</v>
      </c>
      <c r="Z45" s="23">
        <v>0.0</v>
      </c>
      <c r="AA45" s="23" t="s">
        <v>199</v>
      </c>
      <c r="AB45" s="23" t="s">
        <v>199</v>
      </c>
      <c r="AC45" s="23" t="s">
        <v>199</v>
      </c>
      <c r="AD45" s="23" t="s">
        <v>199</v>
      </c>
      <c r="AE45" s="23" t="s">
        <v>199</v>
      </c>
      <c r="AF45" s="23" t="s">
        <v>199</v>
      </c>
      <c r="AG45" s="23" t="s">
        <v>199</v>
      </c>
      <c r="AH45" s="23">
        <v>0.0</v>
      </c>
      <c r="AI45" s="23" t="s">
        <v>199</v>
      </c>
      <c r="AJ45" s="23">
        <v>0.0</v>
      </c>
      <c r="AK45" s="24"/>
      <c r="AL45" s="25"/>
      <c r="AM45" s="25"/>
      <c r="AN45" s="25"/>
      <c r="AO45" s="25"/>
      <c r="AP45" s="25"/>
    </row>
    <row r="46" ht="15.75" customHeight="1">
      <c r="A46" s="26" t="s">
        <v>167</v>
      </c>
      <c r="B46" s="26">
        <v>2019.0</v>
      </c>
      <c r="C46" s="26" t="s">
        <v>601</v>
      </c>
      <c r="D46" s="26">
        <v>13.0</v>
      </c>
      <c r="E46" s="26" t="s">
        <v>176</v>
      </c>
      <c r="F46" s="26" t="s">
        <v>199</v>
      </c>
      <c r="G46" s="26" t="s">
        <v>182</v>
      </c>
      <c r="H46" s="26"/>
      <c r="I46" s="26"/>
      <c r="J46" s="26"/>
      <c r="K46" s="26" t="s">
        <v>199</v>
      </c>
      <c r="L46" s="26" t="s">
        <v>199</v>
      </c>
      <c r="M46" s="26" t="s">
        <v>176</v>
      </c>
      <c r="N46" s="26" t="s">
        <v>188</v>
      </c>
      <c r="O46" s="26" t="s">
        <v>176</v>
      </c>
      <c r="P46" s="28">
        <v>0.4895833333333333</v>
      </c>
      <c r="Q46" s="26" t="s">
        <v>176</v>
      </c>
      <c r="R46" s="26" t="s">
        <v>628</v>
      </c>
      <c r="S46" s="26" t="s">
        <v>629</v>
      </c>
      <c r="T46" s="30" t="s">
        <v>176</v>
      </c>
      <c r="U46" s="26">
        <v>129.0</v>
      </c>
      <c r="V46" s="30" t="s">
        <v>199</v>
      </c>
      <c r="W46" s="30" t="s">
        <v>199</v>
      </c>
      <c r="X46" s="30" t="s">
        <v>199</v>
      </c>
      <c r="Y46" s="30">
        <v>0.0</v>
      </c>
      <c r="Z46" s="30">
        <v>0.0</v>
      </c>
      <c r="AA46" s="30" t="s">
        <v>199</v>
      </c>
      <c r="AB46" s="30" t="s">
        <v>199</v>
      </c>
      <c r="AC46" s="30" t="s">
        <v>199</v>
      </c>
      <c r="AD46" s="30" t="s">
        <v>199</v>
      </c>
      <c r="AE46" s="30" t="s">
        <v>199</v>
      </c>
      <c r="AF46" s="30" t="s">
        <v>199</v>
      </c>
      <c r="AG46" s="30" t="s">
        <v>199</v>
      </c>
      <c r="AH46" s="30">
        <v>0.0</v>
      </c>
      <c r="AI46" s="30" t="s">
        <v>199</v>
      </c>
      <c r="AJ46" s="30">
        <v>0.0</v>
      </c>
      <c r="AK46" s="32"/>
      <c r="AL46" s="25"/>
      <c r="AM46" s="25"/>
      <c r="AN46" s="25"/>
      <c r="AO46" s="25"/>
      <c r="AP46" s="25"/>
    </row>
    <row r="47" ht="15.75" customHeight="1">
      <c r="A47" s="16" t="s">
        <v>167</v>
      </c>
      <c r="B47" s="16">
        <v>2019.0</v>
      </c>
      <c r="C47" s="16" t="s">
        <v>601</v>
      </c>
      <c r="D47" s="16">
        <v>13.0</v>
      </c>
      <c r="E47" s="16" t="s">
        <v>176</v>
      </c>
      <c r="F47" s="16" t="s">
        <v>636</v>
      </c>
      <c r="G47" s="16" t="s">
        <v>182</v>
      </c>
      <c r="H47" s="16"/>
      <c r="I47" s="16"/>
      <c r="J47" s="16"/>
      <c r="K47" s="16" t="s">
        <v>638</v>
      </c>
      <c r="L47" s="16" t="s">
        <v>639</v>
      </c>
      <c r="M47" s="16" t="s">
        <v>176</v>
      </c>
      <c r="N47" s="16" t="s">
        <v>188</v>
      </c>
      <c r="O47" s="16" t="s">
        <v>176</v>
      </c>
      <c r="P47" s="21">
        <v>0.5034722222222222</v>
      </c>
      <c r="Q47" s="16" t="s">
        <v>176</v>
      </c>
      <c r="R47" s="22" t="s">
        <v>194</v>
      </c>
      <c r="S47" s="16" t="s">
        <v>197</v>
      </c>
      <c r="T47" s="16" t="s">
        <v>198</v>
      </c>
      <c r="U47" s="16">
        <v>121.0</v>
      </c>
      <c r="V47" s="23" t="s">
        <v>199</v>
      </c>
      <c r="W47" s="23" t="s">
        <v>199</v>
      </c>
      <c r="X47" s="23" t="s">
        <v>199</v>
      </c>
      <c r="Y47" s="23">
        <v>0.0</v>
      </c>
      <c r="Z47" s="23">
        <v>0.0</v>
      </c>
      <c r="AA47" s="23" t="s">
        <v>199</v>
      </c>
      <c r="AB47" s="23" t="s">
        <v>199</v>
      </c>
      <c r="AC47" s="16" t="s">
        <v>643</v>
      </c>
      <c r="AD47" s="23" t="s">
        <v>199</v>
      </c>
      <c r="AE47" s="23" t="s">
        <v>199</v>
      </c>
      <c r="AF47" s="23" t="s">
        <v>199</v>
      </c>
      <c r="AG47" s="23" t="s">
        <v>199</v>
      </c>
      <c r="AH47" s="23">
        <v>0.0</v>
      </c>
      <c r="AI47" s="23" t="s">
        <v>199</v>
      </c>
      <c r="AJ47" s="23">
        <v>0.0</v>
      </c>
      <c r="AK47" s="24"/>
      <c r="AL47" s="25"/>
      <c r="AM47" s="25"/>
      <c r="AN47" s="25"/>
      <c r="AO47" s="25"/>
      <c r="AP47" s="25"/>
    </row>
    <row r="48" ht="15.75" customHeight="1">
      <c r="A48" s="26" t="s">
        <v>167</v>
      </c>
      <c r="B48" s="26">
        <v>2019.0</v>
      </c>
      <c r="C48" s="26" t="s">
        <v>601</v>
      </c>
      <c r="D48" s="26">
        <v>13.0</v>
      </c>
      <c r="E48" s="26" t="s">
        <v>176</v>
      </c>
      <c r="F48" s="26" t="s">
        <v>199</v>
      </c>
      <c r="G48" s="26" t="s">
        <v>182</v>
      </c>
      <c r="H48" s="26"/>
      <c r="I48" s="26"/>
      <c r="J48" s="26"/>
      <c r="K48" s="26" t="s">
        <v>638</v>
      </c>
      <c r="L48" s="26" t="s">
        <v>639</v>
      </c>
      <c r="M48" s="26" t="s">
        <v>176</v>
      </c>
      <c r="N48" s="26" t="s">
        <v>188</v>
      </c>
      <c r="O48" s="26" t="s">
        <v>176</v>
      </c>
      <c r="P48" s="28">
        <v>0.5104166666666666</v>
      </c>
      <c r="Q48" s="26" t="s">
        <v>176</v>
      </c>
      <c r="R48" s="29" t="s">
        <v>194</v>
      </c>
      <c r="S48" s="26" t="s">
        <v>197</v>
      </c>
      <c r="T48" s="26" t="s">
        <v>198</v>
      </c>
      <c r="U48" s="26">
        <v>122.0</v>
      </c>
      <c r="V48" s="30" t="s">
        <v>199</v>
      </c>
      <c r="W48" s="30" t="s">
        <v>199</v>
      </c>
      <c r="X48" s="30" t="s">
        <v>199</v>
      </c>
      <c r="Y48" s="30">
        <v>0.0</v>
      </c>
      <c r="Z48" s="30">
        <v>0.0</v>
      </c>
      <c r="AA48" s="30" t="s">
        <v>199</v>
      </c>
      <c r="AB48" s="30" t="s">
        <v>199</v>
      </c>
      <c r="AC48" s="30" t="s">
        <v>199</v>
      </c>
      <c r="AD48" s="30" t="s">
        <v>199</v>
      </c>
      <c r="AE48" s="30" t="s">
        <v>199</v>
      </c>
      <c r="AF48" s="30" t="s">
        <v>199</v>
      </c>
      <c r="AG48" s="30" t="s">
        <v>199</v>
      </c>
      <c r="AH48" s="30">
        <v>0.0</v>
      </c>
      <c r="AI48" s="30" t="s">
        <v>199</v>
      </c>
      <c r="AJ48" s="30">
        <v>0.0</v>
      </c>
      <c r="AK48" s="32"/>
      <c r="AL48" s="25"/>
      <c r="AM48" s="25"/>
      <c r="AN48" s="25"/>
      <c r="AO48" s="25"/>
      <c r="AP48" s="25"/>
    </row>
    <row r="49" ht="15.75" customHeight="1">
      <c r="A49" s="16" t="s">
        <v>167</v>
      </c>
      <c r="B49" s="16">
        <v>2016.0</v>
      </c>
      <c r="C49" s="16" t="s">
        <v>147</v>
      </c>
      <c r="D49" s="16">
        <v>19.0</v>
      </c>
      <c r="E49" s="16">
        <v>1.0</v>
      </c>
      <c r="F49" s="16" t="s">
        <v>199</v>
      </c>
      <c r="G49" s="16" t="s">
        <v>648</v>
      </c>
      <c r="H49" s="16"/>
      <c r="I49" s="16"/>
      <c r="J49" s="16"/>
      <c r="K49" s="16" t="s">
        <v>649</v>
      </c>
      <c r="L49" s="16" t="s">
        <v>650</v>
      </c>
      <c r="M49" s="19">
        <v>51.0</v>
      </c>
      <c r="N49" s="16" t="s">
        <v>652</v>
      </c>
      <c r="O49" s="16" t="s">
        <v>176</v>
      </c>
      <c r="P49" s="40">
        <v>0.41111111111111115</v>
      </c>
      <c r="Q49" s="16" t="s">
        <v>176</v>
      </c>
      <c r="R49" s="22" t="s">
        <v>194</v>
      </c>
      <c r="S49" s="16" t="s">
        <v>197</v>
      </c>
      <c r="T49" s="16" t="s">
        <v>198</v>
      </c>
      <c r="U49" s="16">
        <v>113.0</v>
      </c>
      <c r="V49" s="16">
        <v>96.0</v>
      </c>
      <c r="W49" s="16">
        <v>83.0</v>
      </c>
      <c r="X49" s="23" t="s">
        <v>199</v>
      </c>
      <c r="Y49" s="23">
        <v>1.0</v>
      </c>
      <c r="Z49" s="23">
        <v>0.0</v>
      </c>
      <c r="AA49" s="23" t="s">
        <v>199</v>
      </c>
      <c r="AB49" s="23" t="s">
        <v>199</v>
      </c>
      <c r="AC49" s="23" t="s">
        <v>199</v>
      </c>
      <c r="AD49" s="23" t="s">
        <v>199</v>
      </c>
      <c r="AE49" s="23" t="s">
        <v>199</v>
      </c>
      <c r="AF49" s="23" t="s">
        <v>199</v>
      </c>
      <c r="AG49" s="23" t="s">
        <v>199</v>
      </c>
      <c r="AH49" s="23">
        <v>0.0</v>
      </c>
      <c r="AI49" s="23" t="s">
        <v>199</v>
      </c>
      <c r="AJ49" s="23">
        <v>0.0</v>
      </c>
      <c r="AK49" s="24" t="s">
        <v>656</v>
      </c>
      <c r="AL49" s="25"/>
      <c r="AM49" s="25"/>
      <c r="AN49" s="25"/>
      <c r="AO49" s="25"/>
      <c r="AP49" s="25"/>
    </row>
    <row r="50" ht="15.75" customHeight="1">
      <c r="A50" s="26" t="s">
        <v>167</v>
      </c>
      <c r="B50" s="26">
        <v>2016.0</v>
      </c>
      <c r="C50" s="26" t="s">
        <v>147</v>
      </c>
      <c r="D50" s="26">
        <v>19.0</v>
      </c>
      <c r="E50" s="26">
        <v>2.0</v>
      </c>
      <c r="F50" s="26" t="s">
        <v>199</v>
      </c>
      <c r="G50" s="26" t="s">
        <v>648</v>
      </c>
      <c r="H50" s="26"/>
      <c r="I50" s="26"/>
      <c r="J50" s="26"/>
      <c r="K50" s="26" t="s">
        <v>649</v>
      </c>
      <c r="L50" s="26" t="s">
        <v>650</v>
      </c>
      <c r="M50" s="27">
        <v>55.0</v>
      </c>
      <c r="N50" s="26" t="s">
        <v>652</v>
      </c>
      <c r="O50" s="26" t="s">
        <v>176</v>
      </c>
      <c r="P50" s="41">
        <v>0.41111111111111115</v>
      </c>
      <c r="Q50" s="26" t="s">
        <v>176</v>
      </c>
      <c r="R50" s="29" t="s">
        <v>194</v>
      </c>
      <c r="S50" s="26" t="s">
        <v>197</v>
      </c>
      <c r="T50" s="26" t="s">
        <v>198</v>
      </c>
      <c r="U50" s="26">
        <v>116.0</v>
      </c>
      <c r="V50" s="26">
        <v>99.0</v>
      </c>
      <c r="W50" s="26">
        <v>89.0</v>
      </c>
      <c r="X50" s="30" t="s">
        <v>199</v>
      </c>
      <c r="Y50" s="30">
        <v>1.0</v>
      </c>
      <c r="Z50" s="30">
        <v>0.0</v>
      </c>
      <c r="AA50" s="30" t="s">
        <v>199</v>
      </c>
      <c r="AB50" s="30" t="s">
        <v>199</v>
      </c>
      <c r="AC50" s="30" t="s">
        <v>199</v>
      </c>
      <c r="AD50" s="30" t="s">
        <v>199</v>
      </c>
      <c r="AE50" s="30" t="s">
        <v>199</v>
      </c>
      <c r="AF50" s="30" t="s">
        <v>199</v>
      </c>
      <c r="AG50" s="30" t="s">
        <v>199</v>
      </c>
      <c r="AH50" s="30">
        <v>0.0</v>
      </c>
      <c r="AI50" s="30" t="s">
        <v>199</v>
      </c>
      <c r="AJ50" s="30">
        <v>0.0</v>
      </c>
      <c r="AK50" s="32" t="s">
        <v>656</v>
      </c>
      <c r="AL50" s="25"/>
      <c r="AM50" s="25"/>
      <c r="AN50" s="25"/>
      <c r="AO50" s="25"/>
      <c r="AP50" s="25"/>
    </row>
    <row r="51" ht="15.75" customHeight="1">
      <c r="A51" s="16" t="s">
        <v>167</v>
      </c>
      <c r="B51" s="16">
        <v>2016.0</v>
      </c>
      <c r="C51" s="16" t="s">
        <v>147</v>
      </c>
      <c r="D51" s="16">
        <v>19.0</v>
      </c>
      <c r="E51" s="16">
        <v>3.0</v>
      </c>
      <c r="F51" s="16" t="s">
        <v>199</v>
      </c>
      <c r="G51" s="16" t="s">
        <v>648</v>
      </c>
      <c r="H51" s="16"/>
      <c r="I51" s="16"/>
      <c r="J51" s="16"/>
      <c r="K51" s="16" t="s">
        <v>662</v>
      </c>
      <c r="L51" s="16" t="s">
        <v>663</v>
      </c>
      <c r="M51" s="19">
        <v>55.0</v>
      </c>
      <c r="N51" s="16" t="s">
        <v>665</v>
      </c>
      <c r="O51" s="16" t="s">
        <v>176</v>
      </c>
      <c r="P51" s="40">
        <v>0.4979166666666666</v>
      </c>
      <c r="Q51" s="16" t="s">
        <v>176</v>
      </c>
      <c r="R51" s="22" t="s">
        <v>666</v>
      </c>
      <c r="S51" s="16" t="s">
        <v>668</v>
      </c>
      <c r="T51" s="16" t="s">
        <v>221</v>
      </c>
      <c r="U51" s="16">
        <v>226.0</v>
      </c>
      <c r="V51" s="16">
        <v>196.0</v>
      </c>
      <c r="W51" s="16">
        <v>176.0</v>
      </c>
      <c r="X51" s="23" t="s">
        <v>199</v>
      </c>
      <c r="Y51" s="23">
        <v>1.0</v>
      </c>
      <c r="Z51" s="23">
        <v>0.0</v>
      </c>
      <c r="AA51" s="23" t="s">
        <v>199</v>
      </c>
      <c r="AB51" s="23" t="s">
        <v>199</v>
      </c>
      <c r="AC51" s="23" t="s">
        <v>199</v>
      </c>
      <c r="AD51" s="23" t="s">
        <v>199</v>
      </c>
      <c r="AE51" s="23" t="s">
        <v>199</v>
      </c>
      <c r="AF51" s="23" t="s">
        <v>199</v>
      </c>
      <c r="AG51" s="23" t="s">
        <v>199</v>
      </c>
      <c r="AH51" s="23">
        <v>0.0</v>
      </c>
      <c r="AI51" s="23" t="s">
        <v>199</v>
      </c>
      <c r="AJ51" s="23">
        <v>0.0</v>
      </c>
      <c r="AK51" s="24" t="s">
        <v>656</v>
      </c>
      <c r="AL51" s="25"/>
      <c r="AM51" s="25"/>
      <c r="AN51" s="25"/>
      <c r="AO51" s="25"/>
      <c r="AP51" s="25"/>
    </row>
    <row r="52" ht="15.75" customHeight="1">
      <c r="A52" s="26" t="s">
        <v>167</v>
      </c>
      <c r="B52" s="26">
        <v>2016.0</v>
      </c>
      <c r="C52" s="26" t="s">
        <v>147</v>
      </c>
      <c r="D52" s="26">
        <v>20.0</v>
      </c>
      <c r="E52" s="26">
        <v>4.0</v>
      </c>
      <c r="F52" s="26" t="s">
        <v>199</v>
      </c>
      <c r="G52" s="26" t="s">
        <v>154</v>
      </c>
      <c r="H52" s="26"/>
      <c r="I52" s="26"/>
      <c r="J52" s="26"/>
      <c r="K52" s="26" t="s">
        <v>670</v>
      </c>
      <c r="L52" s="26" t="s">
        <v>672</v>
      </c>
      <c r="M52" s="27">
        <v>53.0</v>
      </c>
      <c r="N52" s="26" t="s">
        <v>665</v>
      </c>
      <c r="O52" s="26" t="s">
        <v>176</v>
      </c>
      <c r="P52" s="41">
        <v>0.49513888888888885</v>
      </c>
      <c r="Q52" s="26" t="s">
        <v>176</v>
      </c>
      <c r="R52" s="29" t="s">
        <v>666</v>
      </c>
      <c r="S52" s="26" t="s">
        <v>668</v>
      </c>
      <c r="T52" s="26" t="s">
        <v>221</v>
      </c>
      <c r="U52" s="26">
        <v>137.0</v>
      </c>
      <c r="V52" s="26">
        <v>107.0</v>
      </c>
      <c r="W52" s="26">
        <v>97.0</v>
      </c>
      <c r="X52" s="30" t="s">
        <v>199</v>
      </c>
      <c r="Y52" s="30">
        <v>1.0</v>
      </c>
      <c r="Z52" s="30">
        <v>0.0</v>
      </c>
      <c r="AA52" s="30" t="s">
        <v>199</v>
      </c>
      <c r="AB52" s="42">
        <v>53.0</v>
      </c>
      <c r="AC52" s="30" t="s">
        <v>199</v>
      </c>
      <c r="AD52" s="30" t="s">
        <v>199</v>
      </c>
      <c r="AE52" s="30" t="s">
        <v>199</v>
      </c>
      <c r="AF52" s="30" t="s">
        <v>199</v>
      </c>
      <c r="AG52" s="30" t="s">
        <v>199</v>
      </c>
      <c r="AH52" s="30">
        <v>0.0</v>
      </c>
      <c r="AI52" s="30" t="s">
        <v>199</v>
      </c>
      <c r="AJ52" s="30">
        <v>0.0</v>
      </c>
      <c r="AK52" s="32" t="s">
        <v>656</v>
      </c>
      <c r="AL52" s="25"/>
      <c r="AM52" s="25"/>
      <c r="AN52" s="25"/>
      <c r="AO52" s="25"/>
      <c r="AP52" s="25"/>
    </row>
    <row r="53" ht="15.75" customHeight="1">
      <c r="A53" s="16" t="s">
        <v>167</v>
      </c>
      <c r="B53" s="16">
        <v>2016.0</v>
      </c>
      <c r="C53" s="16" t="s">
        <v>147</v>
      </c>
      <c r="D53" s="16">
        <v>20.0</v>
      </c>
      <c r="E53" s="16">
        <v>5.0</v>
      </c>
      <c r="F53" s="16" t="s">
        <v>199</v>
      </c>
      <c r="G53" s="16" t="s">
        <v>154</v>
      </c>
      <c r="H53" s="16"/>
      <c r="I53" s="16"/>
      <c r="J53" s="16"/>
      <c r="K53" s="16" t="s">
        <v>677</v>
      </c>
      <c r="L53" s="16" t="s">
        <v>678</v>
      </c>
      <c r="M53" s="19">
        <v>50.0</v>
      </c>
      <c r="N53" s="16" t="s">
        <v>665</v>
      </c>
      <c r="O53" s="16" t="s">
        <v>176</v>
      </c>
      <c r="P53" s="40">
        <v>0.5048611111111111</v>
      </c>
      <c r="Q53" s="16" t="s">
        <v>176</v>
      </c>
      <c r="R53" s="22" t="s">
        <v>194</v>
      </c>
      <c r="S53" s="16" t="s">
        <v>197</v>
      </c>
      <c r="T53" s="16" t="s">
        <v>198</v>
      </c>
      <c r="U53" s="16">
        <v>151.0</v>
      </c>
      <c r="V53" s="16">
        <v>124.0</v>
      </c>
      <c r="W53" s="16">
        <v>162.0</v>
      </c>
      <c r="X53" s="23" t="s">
        <v>199</v>
      </c>
      <c r="Y53" s="23">
        <v>1.0</v>
      </c>
      <c r="Z53" s="23">
        <v>0.0</v>
      </c>
      <c r="AA53" s="23" t="s">
        <v>199</v>
      </c>
      <c r="AB53" s="43">
        <v>64.0</v>
      </c>
      <c r="AC53" s="23" t="s">
        <v>199</v>
      </c>
      <c r="AD53" s="23" t="s">
        <v>199</v>
      </c>
      <c r="AE53" s="23" t="s">
        <v>199</v>
      </c>
      <c r="AF53" s="23" t="s">
        <v>199</v>
      </c>
      <c r="AG53" s="23" t="s">
        <v>199</v>
      </c>
      <c r="AH53" s="23">
        <v>0.0</v>
      </c>
      <c r="AI53" s="23" t="s">
        <v>199</v>
      </c>
      <c r="AJ53" s="23">
        <v>0.0</v>
      </c>
      <c r="AK53" s="24" t="s">
        <v>656</v>
      </c>
      <c r="AL53" s="25"/>
      <c r="AM53" s="25"/>
      <c r="AN53" s="25"/>
      <c r="AO53" s="25"/>
      <c r="AP53" s="25"/>
    </row>
    <row r="54" ht="15.75" customHeight="1">
      <c r="A54" s="26" t="s">
        <v>167</v>
      </c>
      <c r="B54" s="26">
        <v>2016.0</v>
      </c>
      <c r="C54" s="26" t="s">
        <v>147</v>
      </c>
      <c r="D54" s="26">
        <v>20.0</v>
      </c>
      <c r="E54" s="26">
        <v>6.0</v>
      </c>
      <c r="F54" s="26" t="s">
        <v>199</v>
      </c>
      <c r="G54" s="26" t="s">
        <v>154</v>
      </c>
      <c r="H54" s="26"/>
      <c r="I54" s="26"/>
      <c r="J54" s="26"/>
      <c r="K54" s="26" t="s">
        <v>670</v>
      </c>
      <c r="L54" s="26" t="s">
        <v>672</v>
      </c>
      <c r="M54" s="27">
        <v>53.0</v>
      </c>
      <c r="N54" s="26" t="s">
        <v>665</v>
      </c>
      <c r="O54" s="26" t="s">
        <v>176</v>
      </c>
      <c r="P54" s="41">
        <v>0.5833333333333334</v>
      </c>
      <c r="Q54" s="26" t="s">
        <v>176</v>
      </c>
      <c r="R54" s="29" t="s">
        <v>194</v>
      </c>
      <c r="S54" s="26" t="s">
        <v>197</v>
      </c>
      <c r="T54" s="26" t="s">
        <v>221</v>
      </c>
      <c r="U54" s="26">
        <v>157.0</v>
      </c>
      <c r="V54" s="26">
        <v>134.0</v>
      </c>
      <c r="W54" s="26">
        <v>124.0</v>
      </c>
      <c r="X54" s="30" t="s">
        <v>199</v>
      </c>
      <c r="Y54" s="30">
        <v>1.0</v>
      </c>
      <c r="Z54" s="30">
        <v>0.0</v>
      </c>
      <c r="AA54" s="30" t="s">
        <v>199</v>
      </c>
      <c r="AB54" s="42">
        <v>66.0</v>
      </c>
      <c r="AC54" s="30" t="s">
        <v>199</v>
      </c>
      <c r="AD54" s="30" t="s">
        <v>199</v>
      </c>
      <c r="AE54" s="30" t="s">
        <v>199</v>
      </c>
      <c r="AF54" s="30" t="s">
        <v>199</v>
      </c>
      <c r="AG54" s="30" t="s">
        <v>199</v>
      </c>
      <c r="AH54" s="30">
        <v>0.0</v>
      </c>
      <c r="AI54" s="30" t="s">
        <v>199</v>
      </c>
      <c r="AJ54" s="30">
        <v>0.0</v>
      </c>
      <c r="AK54" s="32" t="s">
        <v>656</v>
      </c>
      <c r="AL54" s="25"/>
      <c r="AM54" s="25"/>
      <c r="AN54" s="25"/>
      <c r="AO54" s="25"/>
      <c r="AP54" s="25"/>
    </row>
    <row r="55" ht="15.75" customHeight="1">
      <c r="A55" s="16" t="s">
        <v>167</v>
      </c>
      <c r="B55" s="16">
        <v>2016.0</v>
      </c>
      <c r="C55" s="16" t="s">
        <v>147</v>
      </c>
      <c r="D55" s="16">
        <v>25.0</v>
      </c>
      <c r="E55" s="16">
        <v>7.0</v>
      </c>
      <c r="F55" s="16" t="s">
        <v>199</v>
      </c>
      <c r="G55" s="16" t="s">
        <v>154</v>
      </c>
      <c r="H55" s="16"/>
      <c r="I55" s="16"/>
      <c r="J55" s="16"/>
      <c r="K55" s="16" t="s">
        <v>687</v>
      </c>
      <c r="L55" s="16" t="s">
        <v>688</v>
      </c>
      <c r="M55" s="19">
        <v>44.0</v>
      </c>
      <c r="N55" s="16" t="s">
        <v>150</v>
      </c>
      <c r="O55" s="16" t="s">
        <v>176</v>
      </c>
      <c r="P55" s="40">
        <v>0.3652777777777778</v>
      </c>
      <c r="Q55" s="16" t="s">
        <v>176</v>
      </c>
      <c r="R55" s="22" t="s">
        <v>666</v>
      </c>
      <c r="S55" s="16" t="s">
        <v>668</v>
      </c>
      <c r="T55" s="16" t="s">
        <v>198</v>
      </c>
      <c r="U55" s="16">
        <v>102.0</v>
      </c>
      <c r="V55" s="16">
        <v>75.0</v>
      </c>
      <c r="W55" s="16">
        <v>67.0</v>
      </c>
      <c r="X55" s="23" t="s">
        <v>199</v>
      </c>
      <c r="Y55" s="23">
        <v>1.0</v>
      </c>
      <c r="Z55" s="23">
        <v>0.0</v>
      </c>
      <c r="AA55" s="16" t="s">
        <v>689</v>
      </c>
      <c r="AB55" s="43">
        <v>60.0</v>
      </c>
      <c r="AC55" s="23" t="s">
        <v>199</v>
      </c>
      <c r="AD55" s="23" t="s">
        <v>199</v>
      </c>
      <c r="AE55" s="23" t="s">
        <v>199</v>
      </c>
      <c r="AF55" s="23" t="s">
        <v>199</v>
      </c>
      <c r="AG55" s="23" t="s">
        <v>199</v>
      </c>
      <c r="AH55" s="23">
        <v>0.0</v>
      </c>
      <c r="AI55" s="23" t="s">
        <v>199</v>
      </c>
      <c r="AJ55" s="23">
        <v>0.0</v>
      </c>
      <c r="AK55" s="24" t="s">
        <v>656</v>
      </c>
      <c r="AL55" s="25"/>
      <c r="AM55" s="25"/>
      <c r="AN55" s="25"/>
      <c r="AO55" s="25"/>
      <c r="AP55" s="25"/>
    </row>
    <row r="56" ht="15.75" customHeight="1">
      <c r="A56" s="26" t="s">
        <v>167</v>
      </c>
      <c r="B56" s="26">
        <v>2016.0</v>
      </c>
      <c r="C56" s="26" t="s">
        <v>147</v>
      </c>
      <c r="D56" s="26">
        <v>25.0</v>
      </c>
      <c r="E56" s="26">
        <v>8.0</v>
      </c>
      <c r="F56" s="26" t="s">
        <v>199</v>
      </c>
      <c r="G56" s="26" t="s">
        <v>154</v>
      </c>
      <c r="H56" s="26"/>
      <c r="I56" s="26"/>
      <c r="J56" s="26"/>
      <c r="K56" s="26" t="s">
        <v>693</v>
      </c>
      <c r="L56" s="26" t="s">
        <v>694</v>
      </c>
      <c r="M56" s="27">
        <v>53.0</v>
      </c>
      <c r="N56" s="26" t="s">
        <v>150</v>
      </c>
      <c r="O56" s="26" t="s">
        <v>176</v>
      </c>
      <c r="P56" s="41">
        <v>0.4791666666666667</v>
      </c>
      <c r="Q56" s="26" t="s">
        <v>176</v>
      </c>
      <c r="R56" s="29" t="s">
        <v>666</v>
      </c>
      <c r="S56" s="26" t="s">
        <v>668</v>
      </c>
      <c r="T56" s="26" t="s">
        <v>198</v>
      </c>
      <c r="U56" s="26">
        <v>158.0</v>
      </c>
      <c r="V56" s="26">
        <v>122.0</v>
      </c>
      <c r="W56" s="26">
        <v>110.0</v>
      </c>
      <c r="X56" s="30" t="s">
        <v>199</v>
      </c>
      <c r="Y56" s="30">
        <v>1.0</v>
      </c>
      <c r="Z56" s="30">
        <v>0.0</v>
      </c>
      <c r="AA56" s="30" t="s">
        <v>199</v>
      </c>
      <c r="AB56" s="42">
        <v>73.0</v>
      </c>
      <c r="AC56" s="30" t="s">
        <v>199</v>
      </c>
      <c r="AD56" s="30" t="s">
        <v>199</v>
      </c>
      <c r="AE56" s="30" t="s">
        <v>199</v>
      </c>
      <c r="AF56" s="30" t="s">
        <v>199</v>
      </c>
      <c r="AG56" s="30" t="s">
        <v>199</v>
      </c>
      <c r="AH56" s="30">
        <v>0.0</v>
      </c>
      <c r="AI56" s="30" t="s">
        <v>199</v>
      </c>
      <c r="AJ56" s="30">
        <v>0.0</v>
      </c>
      <c r="AK56" s="32" t="s">
        <v>656</v>
      </c>
      <c r="AL56" s="25"/>
      <c r="AM56" s="25"/>
      <c r="AN56" s="25"/>
      <c r="AO56" s="25"/>
      <c r="AP56" s="25"/>
    </row>
    <row r="57" ht="15.75" customHeight="1">
      <c r="A57" s="16" t="s">
        <v>167</v>
      </c>
      <c r="B57" s="16">
        <v>2016.0</v>
      </c>
      <c r="C57" s="16" t="s">
        <v>147</v>
      </c>
      <c r="D57" s="16">
        <v>2.0</v>
      </c>
      <c r="E57" s="16">
        <v>9.0</v>
      </c>
      <c r="F57" s="16" t="s">
        <v>697</v>
      </c>
      <c r="G57" s="16" t="s">
        <v>154</v>
      </c>
      <c r="H57" s="16"/>
      <c r="I57" s="16"/>
      <c r="J57" s="16"/>
      <c r="K57" s="16" t="s">
        <v>195</v>
      </c>
      <c r="L57" s="16" t="s">
        <v>196</v>
      </c>
      <c r="M57" s="19">
        <v>44.0</v>
      </c>
      <c r="N57" s="16" t="s">
        <v>150</v>
      </c>
      <c r="O57" s="16" t="s">
        <v>176</v>
      </c>
      <c r="P57" s="40">
        <v>0.4826388888888889</v>
      </c>
      <c r="Q57" s="16" t="s">
        <v>189</v>
      </c>
      <c r="R57" s="22" t="s">
        <v>666</v>
      </c>
      <c r="S57" s="16" t="s">
        <v>668</v>
      </c>
      <c r="T57" s="16" t="s">
        <v>221</v>
      </c>
      <c r="U57" s="16">
        <v>100.0</v>
      </c>
      <c r="V57" s="16" t="s">
        <v>699</v>
      </c>
      <c r="W57" s="16">
        <v>78.5</v>
      </c>
      <c r="X57" s="23" t="s">
        <v>199</v>
      </c>
      <c r="Y57" s="23">
        <v>1.0</v>
      </c>
      <c r="Z57" s="23">
        <v>0.0</v>
      </c>
      <c r="AA57" s="16" t="s">
        <v>700</v>
      </c>
      <c r="AB57" s="23" t="s">
        <v>199</v>
      </c>
      <c r="AC57" s="16" t="s">
        <v>701</v>
      </c>
      <c r="AD57" s="23" t="s">
        <v>199</v>
      </c>
      <c r="AE57" s="23" t="s">
        <v>199</v>
      </c>
      <c r="AF57" s="23" t="s">
        <v>199</v>
      </c>
      <c r="AG57" s="23" t="s">
        <v>199</v>
      </c>
      <c r="AH57" s="23">
        <v>0.0</v>
      </c>
      <c r="AI57" s="23" t="s">
        <v>199</v>
      </c>
      <c r="AJ57" s="23">
        <v>0.0</v>
      </c>
      <c r="AK57" s="24"/>
      <c r="AL57" s="25"/>
      <c r="AM57" s="25"/>
      <c r="AN57" s="25"/>
      <c r="AO57" s="25"/>
      <c r="AP57" s="25"/>
    </row>
    <row r="58" ht="15.75" customHeight="1">
      <c r="A58" s="26" t="s">
        <v>167</v>
      </c>
      <c r="B58" s="26">
        <v>2016.0</v>
      </c>
      <c r="C58" s="26" t="s">
        <v>147</v>
      </c>
      <c r="D58" s="26">
        <v>7.0</v>
      </c>
      <c r="E58" s="26">
        <v>10.0</v>
      </c>
      <c r="F58" s="26" t="s">
        <v>705</v>
      </c>
      <c r="G58" s="26" t="s">
        <v>154</v>
      </c>
      <c r="H58" s="26"/>
      <c r="I58" s="26"/>
      <c r="J58" s="26"/>
      <c r="K58" s="26" t="s">
        <v>262</v>
      </c>
      <c r="L58" s="26" t="s">
        <v>263</v>
      </c>
      <c r="M58" s="27">
        <v>42.4</v>
      </c>
      <c r="N58" s="26" t="s">
        <v>244</v>
      </c>
      <c r="O58" s="26" t="s">
        <v>176</v>
      </c>
      <c r="P58" s="41">
        <v>0.6013888888888889</v>
      </c>
      <c r="Q58" s="26" t="s">
        <v>267</v>
      </c>
      <c r="R58" s="29" t="s">
        <v>666</v>
      </c>
      <c r="S58" s="26" t="s">
        <v>668</v>
      </c>
      <c r="T58" s="26" t="s">
        <v>221</v>
      </c>
      <c r="U58" s="26">
        <v>151.0</v>
      </c>
      <c r="V58" s="26">
        <v>123.0</v>
      </c>
      <c r="W58" s="26">
        <v>114.0</v>
      </c>
      <c r="X58" s="30" t="s">
        <v>199</v>
      </c>
      <c r="Y58" s="30">
        <v>1.0</v>
      </c>
      <c r="Z58" s="30">
        <v>0.0</v>
      </c>
      <c r="AA58" s="26" t="s">
        <v>707</v>
      </c>
      <c r="AB58" s="42">
        <v>58.0</v>
      </c>
      <c r="AC58" s="26" t="s">
        <v>708</v>
      </c>
      <c r="AD58" s="30" t="s">
        <v>199</v>
      </c>
      <c r="AE58" s="30" t="s">
        <v>199</v>
      </c>
      <c r="AF58" s="30" t="s">
        <v>199</v>
      </c>
      <c r="AG58" s="30" t="s">
        <v>199</v>
      </c>
      <c r="AH58" s="30">
        <v>0.0</v>
      </c>
      <c r="AI58" s="30" t="s">
        <v>199</v>
      </c>
      <c r="AJ58" s="30">
        <v>0.0</v>
      </c>
      <c r="AK58" s="32" t="s">
        <v>709</v>
      </c>
      <c r="AL58" s="25"/>
      <c r="AM58" s="25"/>
      <c r="AN58" s="25"/>
      <c r="AO58" s="25"/>
      <c r="AP58" s="25"/>
    </row>
    <row r="59" ht="15.75" customHeight="1">
      <c r="A59" s="16" t="s">
        <v>167</v>
      </c>
      <c r="B59" s="16">
        <v>2016.0</v>
      </c>
      <c r="C59" s="16" t="s">
        <v>147</v>
      </c>
      <c r="D59" s="16">
        <v>7.0</v>
      </c>
      <c r="E59" s="16">
        <v>11.0</v>
      </c>
      <c r="F59" s="16" t="s">
        <v>712</v>
      </c>
      <c r="G59" s="16" t="s">
        <v>154</v>
      </c>
      <c r="H59" s="16"/>
      <c r="I59" s="16"/>
      <c r="J59" s="16"/>
      <c r="K59" s="16" t="s">
        <v>271</v>
      </c>
      <c r="L59" s="16" t="s">
        <v>273</v>
      </c>
      <c r="M59" s="19">
        <v>46.8</v>
      </c>
      <c r="N59" s="16" t="s">
        <v>150</v>
      </c>
      <c r="O59" s="16" t="s">
        <v>176</v>
      </c>
      <c r="P59" s="40">
        <v>0.6354166666666666</v>
      </c>
      <c r="Q59" s="16" t="s">
        <v>267</v>
      </c>
      <c r="R59" s="22" t="s">
        <v>666</v>
      </c>
      <c r="S59" s="16" t="s">
        <v>668</v>
      </c>
      <c r="T59" s="16" t="s">
        <v>221</v>
      </c>
      <c r="U59" s="16">
        <v>150.0</v>
      </c>
      <c r="V59" s="16">
        <v>120.0</v>
      </c>
      <c r="W59" s="16">
        <v>108.0</v>
      </c>
      <c r="X59" s="23" t="s">
        <v>199</v>
      </c>
      <c r="Y59" s="23">
        <v>1.0</v>
      </c>
      <c r="Z59" s="23">
        <v>0.0</v>
      </c>
      <c r="AA59" s="16" t="s">
        <v>713</v>
      </c>
      <c r="AB59" s="43">
        <v>61.0</v>
      </c>
      <c r="AC59" s="23" t="s">
        <v>199</v>
      </c>
      <c r="AD59" s="23" t="s">
        <v>199</v>
      </c>
      <c r="AE59" s="23" t="s">
        <v>199</v>
      </c>
      <c r="AF59" s="23" t="s">
        <v>199</v>
      </c>
      <c r="AG59" s="23" t="s">
        <v>199</v>
      </c>
      <c r="AH59" s="23">
        <v>0.0</v>
      </c>
      <c r="AI59" s="23" t="s">
        <v>199</v>
      </c>
      <c r="AJ59" s="23">
        <v>0.0</v>
      </c>
      <c r="AK59" s="24"/>
      <c r="AL59" s="25"/>
      <c r="AM59" s="25"/>
      <c r="AN59" s="25"/>
      <c r="AO59" s="25"/>
      <c r="AP59" s="25"/>
    </row>
    <row r="60" ht="15.75" customHeight="1">
      <c r="A60" s="26" t="s">
        <v>167</v>
      </c>
      <c r="B60" s="26">
        <v>2016.0</v>
      </c>
      <c r="C60" s="26" t="s">
        <v>147</v>
      </c>
      <c r="D60" s="26">
        <v>7.0</v>
      </c>
      <c r="E60" s="26">
        <v>12.0</v>
      </c>
      <c r="F60" s="26" t="s">
        <v>199</v>
      </c>
      <c r="G60" s="26" t="s">
        <v>154</v>
      </c>
      <c r="H60" s="26"/>
      <c r="I60" s="26"/>
      <c r="J60" s="26"/>
      <c r="K60" s="26" t="s">
        <v>290</v>
      </c>
      <c r="L60" s="26" t="s">
        <v>291</v>
      </c>
      <c r="M60" s="27">
        <v>54.4</v>
      </c>
      <c r="N60" s="26" t="s">
        <v>150</v>
      </c>
      <c r="O60" s="26" t="s">
        <v>176</v>
      </c>
      <c r="P60" s="41">
        <v>0.6666666666666666</v>
      </c>
      <c r="Q60" s="26" t="s">
        <v>309</v>
      </c>
      <c r="R60" s="29" t="s">
        <v>194</v>
      </c>
      <c r="S60" s="26" t="s">
        <v>197</v>
      </c>
      <c r="T60" s="26" t="s">
        <v>221</v>
      </c>
      <c r="U60" s="26">
        <v>163.0</v>
      </c>
      <c r="V60" s="26">
        <v>133.0</v>
      </c>
      <c r="W60" s="26">
        <v>117.0</v>
      </c>
      <c r="X60" s="30" t="s">
        <v>199</v>
      </c>
      <c r="Y60" s="30">
        <v>1.0</v>
      </c>
      <c r="Z60" s="30">
        <v>0.0</v>
      </c>
      <c r="AA60" s="26" t="s">
        <v>717</v>
      </c>
      <c r="AB60" s="42">
        <v>70.0</v>
      </c>
      <c r="AC60" s="30" t="s">
        <v>199</v>
      </c>
      <c r="AD60" s="30" t="s">
        <v>199</v>
      </c>
      <c r="AE60" s="30" t="s">
        <v>199</v>
      </c>
      <c r="AF60" s="30" t="s">
        <v>199</v>
      </c>
      <c r="AG60" s="30" t="s">
        <v>199</v>
      </c>
      <c r="AH60" s="30">
        <v>0.0</v>
      </c>
      <c r="AI60" s="30" t="s">
        <v>199</v>
      </c>
      <c r="AJ60" s="30">
        <v>0.0</v>
      </c>
      <c r="AK60" s="32"/>
      <c r="AL60" s="25"/>
      <c r="AM60" s="25"/>
      <c r="AN60" s="25"/>
      <c r="AO60" s="25"/>
      <c r="AP60" s="25"/>
    </row>
    <row r="61" ht="15.75" customHeight="1">
      <c r="A61" s="16" t="s">
        <v>167</v>
      </c>
      <c r="B61" s="16">
        <v>2016.0</v>
      </c>
      <c r="C61" s="16" t="s">
        <v>147</v>
      </c>
      <c r="D61" s="16">
        <v>7.0</v>
      </c>
      <c r="E61" s="16">
        <v>9.0</v>
      </c>
      <c r="F61" s="16" t="s">
        <v>697</v>
      </c>
      <c r="G61" s="16" t="s">
        <v>154</v>
      </c>
      <c r="H61" s="16"/>
      <c r="I61" s="16"/>
      <c r="J61" s="16"/>
      <c r="K61" s="16" t="s">
        <v>301</v>
      </c>
      <c r="L61" s="16" t="s">
        <v>302</v>
      </c>
      <c r="M61" s="19">
        <v>67.0</v>
      </c>
      <c r="N61" s="16" t="s">
        <v>150</v>
      </c>
      <c r="O61" s="16" t="s">
        <v>176</v>
      </c>
      <c r="P61" s="40">
        <v>0.6805555555555555</v>
      </c>
      <c r="Q61" s="16" t="s">
        <v>309</v>
      </c>
      <c r="R61" s="22" t="s">
        <v>666</v>
      </c>
      <c r="S61" s="16" t="s">
        <v>668</v>
      </c>
      <c r="T61" s="16" t="s">
        <v>221</v>
      </c>
      <c r="U61" s="16">
        <v>100.0</v>
      </c>
      <c r="V61" s="16">
        <v>89.0</v>
      </c>
      <c r="W61" s="16">
        <v>78.5</v>
      </c>
      <c r="X61" s="23" t="s">
        <v>199</v>
      </c>
      <c r="Y61" s="23">
        <v>1.0</v>
      </c>
      <c r="Z61" s="23">
        <v>0.0</v>
      </c>
      <c r="AA61" s="16" t="s">
        <v>700</v>
      </c>
      <c r="AB61" s="23" t="s">
        <v>199</v>
      </c>
      <c r="AC61" s="16" t="s">
        <v>701</v>
      </c>
      <c r="AD61" s="23" t="s">
        <v>199</v>
      </c>
      <c r="AE61" s="23" t="s">
        <v>199</v>
      </c>
      <c r="AF61" s="23" t="s">
        <v>199</v>
      </c>
      <c r="AG61" s="23" t="s">
        <v>199</v>
      </c>
      <c r="AH61" s="23">
        <v>0.0</v>
      </c>
      <c r="AI61" s="23" t="s">
        <v>199</v>
      </c>
      <c r="AJ61" s="23">
        <v>0.0</v>
      </c>
      <c r="AK61" s="24"/>
      <c r="AL61" s="25"/>
      <c r="AM61" s="25"/>
      <c r="AN61" s="25"/>
      <c r="AO61" s="25"/>
      <c r="AP61" s="25"/>
    </row>
    <row r="62" ht="15.75" customHeight="1">
      <c r="A62" s="26" t="s">
        <v>167</v>
      </c>
      <c r="B62" s="26">
        <v>2016.0</v>
      </c>
      <c r="C62" s="26" t="s">
        <v>147</v>
      </c>
      <c r="D62" s="26">
        <v>7.0</v>
      </c>
      <c r="E62" s="26">
        <v>13.0</v>
      </c>
      <c r="F62" s="26" t="s">
        <v>725</v>
      </c>
      <c r="G62" s="26" t="s">
        <v>154</v>
      </c>
      <c r="H62" s="26"/>
      <c r="I62" s="26"/>
      <c r="J62" s="26"/>
      <c r="K62" s="26" t="s">
        <v>312</v>
      </c>
      <c r="L62" s="26" t="s">
        <v>314</v>
      </c>
      <c r="M62" s="27">
        <v>71.3</v>
      </c>
      <c r="N62" s="26" t="s">
        <v>150</v>
      </c>
      <c r="O62" s="26" t="s">
        <v>176</v>
      </c>
      <c r="P62" s="41">
        <v>0.6944444444444445</v>
      </c>
      <c r="Q62" s="26" t="s">
        <v>347</v>
      </c>
      <c r="R62" s="29" t="s">
        <v>666</v>
      </c>
      <c r="S62" s="26" t="s">
        <v>668</v>
      </c>
      <c r="T62" s="26" t="s">
        <v>221</v>
      </c>
      <c r="U62" s="26">
        <v>174.0</v>
      </c>
      <c r="V62" s="26">
        <v>143.0</v>
      </c>
      <c r="W62" s="26">
        <v>131.0</v>
      </c>
      <c r="X62" s="30" t="s">
        <v>199</v>
      </c>
      <c r="Y62" s="30">
        <v>1.0</v>
      </c>
      <c r="Z62" s="30">
        <v>0.0</v>
      </c>
      <c r="AA62" s="26" t="s">
        <v>727</v>
      </c>
      <c r="AB62" s="42">
        <v>71.0</v>
      </c>
      <c r="AC62" s="30" t="s">
        <v>199</v>
      </c>
      <c r="AD62" s="30" t="s">
        <v>199</v>
      </c>
      <c r="AE62" s="30" t="s">
        <v>199</v>
      </c>
      <c r="AF62" s="30" t="s">
        <v>199</v>
      </c>
      <c r="AG62" s="30" t="s">
        <v>199</v>
      </c>
      <c r="AH62" s="30">
        <v>0.0</v>
      </c>
      <c r="AI62" s="30" t="s">
        <v>199</v>
      </c>
      <c r="AJ62" s="30">
        <v>0.0</v>
      </c>
      <c r="AK62" s="32"/>
      <c r="AL62" s="25"/>
      <c r="AM62" s="25"/>
      <c r="AN62" s="25"/>
      <c r="AO62" s="25"/>
      <c r="AP62" s="25"/>
    </row>
    <row r="63" ht="15.75" customHeight="1">
      <c r="A63" s="16" t="s">
        <v>167</v>
      </c>
      <c r="B63" s="16">
        <v>2016.0</v>
      </c>
      <c r="C63" s="16" t="s">
        <v>147</v>
      </c>
      <c r="D63" s="16">
        <v>7.0</v>
      </c>
      <c r="E63" s="16">
        <v>14.0</v>
      </c>
      <c r="F63" s="16" t="s">
        <v>199</v>
      </c>
      <c r="G63" s="16" t="s">
        <v>154</v>
      </c>
      <c r="H63" s="16"/>
      <c r="I63" s="16"/>
      <c r="J63" s="16"/>
      <c r="K63" s="16" t="s">
        <v>252</v>
      </c>
      <c r="L63" s="16" t="s">
        <v>253</v>
      </c>
      <c r="M63" s="19">
        <v>33.9</v>
      </c>
      <c r="N63" s="16" t="s">
        <v>244</v>
      </c>
      <c r="O63" s="16" t="s">
        <v>176</v>
      </c>
      <c r="P63" s="40">
        <v>0.22708333333333333</v>
      </c>
      <c r="Q63" s="16" t="s">
        <v>731</v>
      </c>
      <c r="R63" s="16" t="s">
        <v>288</v>
      </c>
      <c r="S63" s="16" t="s">
        <v>732</v>
      </c>
      <c r="T63" s="16" t="s">
        <v>198</v>
      </c>
      <c r="U63" s="16">
        <v>205.0</v>
      </c>
      <c r="V63" s="16" t="s">
        <v>733</v>
      </c>
      <c r="W63" s="16">
        <v>155.0</v>
      </c>
      <c r="X63" s="23" t="s">
        <v>199</v>
      </c>
      <c r="Y63" s="23">
        <v>1.0</v>
      </c>
      <c r="Z63" s="23">
        <v>0.0</v>
      </c>
      <c r="AA63" s="16" t="s">
        <v>735</v>
      </c>
      <c r="AB63" s="43">
        <v>75.0</v>
      </c>
      <c r="AC63" s="23" t="s">
        <v>199</v>
      </c>
      <c r="AD63" s="23" t="s">
        <v>199</v>
      </c>
      <c r="AE63" s="23" t="s">
        <v>199</v>
      </c>
      <c r="AF63" s="23" t="s">
        <v>199</v>
      </c>
      <c r="AG63" s="23" t="s">
        <v>199</v>
      </c>
      <c r="AH63" s="23">
        <v>0.0</v>
      </c>
      <c r="AI63" s="23" t="s">
        <v>199</v>
      </c>
      <c r="AJ63" s="23">
        <v>0.0</v>
      </c>
      <c r="AK63" s="24"/>
      <c r="AL63" s="25"/>
      <c r="AM63" s="25"/>
      <c r="AN63" s="25"/>
      <c r="AO63" s="25"/>
      <c r="AP63" s="25"/>
    </row>
    <row r="64" ht="15.75" customHeight="1">
      <c r="A64" s="26" t="s">
        <v>167</v>
      </c>
      <c r="B64" s="26">
        <v>2016.0</v>
      </c>
      <c r="C64" s="26" t="s">
        <v>147</v>
      </c>
      <c r="D64" s="26">
        <v>10.0</v>
      </c>
      <c r="E64" s="26">
        <v>15.0</v>
      </c>
      <c r="F64" s="26" t="s">
        <v>738</v>
      </c>
      <c r="G64" s="26" t="s">
        <v>154</v>
      </c>
      <c r="H64" s="26"/>
      <c r="I64" s="26"/>
      <c r="J64" s="26"/>
      <c r="K64" s="26" t="s">
        <v>513</v>
      </c>
      <c r="L64" s="26" t="s">
        <v>515</v>
      </c>
      <c r="M64" s="27">
        <v>31.1</v>
      </c>
      <c r="N64" s="26" t="s">
        <v>511</v>
      </c>
      <c r="O64" s="26" t="s">
        <v>176</v>
      </c>
      <c r="P64" s="41">
        <v>0.6715277777777778</v>
      </c>
      <c r="Q64" s="26" t="s">
        <v>267</v>
      </c>
      <c r="R64" s="29" t="s">
        <v>666</v>
      </c>
      <c r="S64" s="26" t="s">
        <v>668</v>
      </c>
      <c r="T64" s="26" t="s">
        <v>198</v>
      </c>
      <c r="U64" s="26">
        <v>160.0</v>
      </c>
      <c r="V64" s="26">
        <v>126.0</v>
      </c>
      <c r="W64" s="26">
        <v>116.0</v>
      </c>
      <c r="X64" s="30" t="s">
        <v>199</v>
      </c>
      <c r="Y64" s="30">
        <v>1.0</v>
      </c>
      <c r="Z64" s="30">
        <v>0.0</v>
      </c>
      <c r="AA64" s="26" t="s">
        <v>740</v>
      </c>
      <c r="AB64" s="30" t="s">
        <v>199</v>
      </c>
      <c r="AC64" s="26" t="s">
        <v>742</v>
      </c>
      <c r="AD64" s="30" t="s">
        <v>199</v>
      </c>
      <c r="AE64" s="30" t="s">
        <v>199</v>
      </c>
      <c r="AF64" s="30" t="s">
        <v>199</v>
      </c>
      <c r="AG64" s="30" t="s">
        <v>199</v>
      </c>
      <c r="AH64" s="30">
        <v>0.0</v>
      </c>
      <c r="AI64" s="30" t="s">
        <v>199</v>
      </c>
      <c r="AJ64" s="30">
        <v>0.0</v>
      </c>
      <c r="AK64" s="32"/>
      <c r="AL64" s="25"/>
      <c r="AM64" s="25"/>
      <c r="AN64" s="25"/>
      <c r="AO64" s="25"/>
      <c r="AP64" s="25"/>
    </row>
    <row r="65" ht="15.75" customHeight="1">
      <c r="A65" s="16" t="s">
        <v>167</v>
      </c>
      <c r="B65" s="16">
        <v>2016.0</v>
      </c>
      <c r="C65" s="16" t="s">
        <v>147</v>
      </c>
      <c r="D65" s="16">
        <v>10.0</v>
      </c>
      <c r="E65" s="16">
        <v>16.0</v>
      </c>
      <c r="F65" s="16" t="s">
        <v>199</v>
      </c>
      <c r="G65" s="16" t="s">
        <v>154</v>
      </c>
      <c r="H65" s="16"/>
      <c r="I65" s="16"/>
      <c r="J65" s="16"/>
      <c r="K65" s="16" t="s">
        <v>521</v>
      </c>
      <c r="L65" s="16" t="s">
        <v>522</v>
      </c>
      <c r="M65" s="19">
        <v>49.7</v>
      </c>
      <c r="N65" s="16" t="s">
        <v>511</v>
      </c>
      <c r="O65" s="16" t="s">
        <v>176</v>
      </c>
      <c r="P65" s="40">
        <v>0.6972222222222223</v>
      </c>
      <c r="Q65" s="16" t="s">
        <v>287</v>
      </c>
      <c r="R65" s="22" t="s">
        <v>194</v>
      </c>
      <c r="S65" s="16" t="s">
        <v>197</v>
      </c>
      <c r="T65" s="16" t="s">
        <v>221</v>
      </c>
      <c r="U65" s="16">
        <v>193.0</v>
      </c>
      <c r="V65" s="16">
        <v>173.0</v>
      </c>
      <c r="W65" s="16">
        <v>160.0</v>
      </c>
      <c r="X65" s="23" t="s">
        <v>199</v>
      </c>
      <c r="Y65" s="23">
        <v>1.0</v>
      </c>
      <c r="Z65" s="23">
        <v>0.0</v>
      </c>
      <c r="AA65" s="16" t="s">
        <v>746</v>
      </c>
      <c r="AB65" s="43">
        <v>63.0</v>
      </c>
      <c r="AC65" s="23" t="s">
        <v>199</v>
      </c>
      <c r="AD65" s="23" t="s">
        <v>199</v>
      </c>
      <c r="AE65" s="23" t="s">
        <v>199</v>
      </c>
      <c r="AF65" s="23" t="s">
        <v>199</v>
      </c>
      <c r="AG65" s="23" t="s">
        <v>199</v>
      </c>
      <c r="AH65" s="23">
        <v>0.0</v>
      </c>
      <c r="AI65" s="23" t="s">
        <v>199</v>
      </c>
      <c r="AJ65" s="23">
        <v>0.0</v>
      </c>
      <c r="AK65" s="24"/>
      <c r="AL65" s="25"/>
      <c r="AM65" s="25"/>
      <c r="AN65" s="25"/>
      <c r="AO65" s="25"/>
      <c r="AP65" s="25"/>
    </row>
    <row r="66" ht="15.75" customHeight="1">
      <c r="A66" s="26" t="s">
        <v>167</v>
      </c>
      <c r="B66" s="26">
        <v>2016.0</v>
      </c>
      <c r="C66" s="26" t="s">
        <v>147</v>
      </c>
      <c r="D66" s="26">
        <v>10.0</v>
      </c>
      <c r="E66" s="26">
        <v>17.0</v>
      </c>
      <c r="F66" s="26" t="s">
        <v>199</v>
      </c>
      <c r="G66" s="26" t="s">
        <v>558</v>
      </c>
      <c r="H66" s="26"/>
      <c r="I66" s="26"/>
      <c r="J66" s="26"/>
      <c r="K66" s="26" t="s">
        <v>563</v>
      </c>
      <c r="L66" s="26" t="s">
        <v>564</v>
      </c>
      <c r="M66" s="27">
        <v>24.8</v>
      </c>
      <c r="N66" s="26" t="s">
        <v>244</v>
      </c>
      <c r="O66" s="26" t="s">
        <v>176</v>
      </c>
      <c r="P66" s="41">
        <v>0.7361111111111112</v>
      </c>
      <c r="Q66" s="26" t="s">
        <v>287</v>
      </c>
      <c r="R66" s="26" t="s">
        <v>288</v>
      </c>
      <c r="S66" s="26" t="s">
        <v>732</v>
      </c>
      <c r="T66" s="26" t="s">
        <v>198</v>
      </c>
      <c r="U66" s="26">
        <v>205.0</v>
      </c>
      <c r="V66" s="26" t="s">
        <v>733</v>
      </c>
      <c r="W66" s="26">
        <v>159.0</v>
      </c>
      <c r="X66" s="30" t="s">
        <v>199</v>
      </c>
      <c r="Y66" s="30">
        <v>1.0</v>
      </c>
      <c r="Z66" s="30">
        <v>0.0</v>
      </c>
      <c r="AA66" s="26" t="s">
        <v>753</v>
      </c>
      <c r="AB66" s="42">
        <v>62.0</v>
      </c>
      <c r="AC66" s="30" t="s">
        <v>199</v>
      </c>
      <c r="AD66" s="30" t="s">
        <v>199</v>
      </c>
      <c r="AE66" s="30" t="s">
        <v>199</v>
      </c>
      <c r="AF66" s="30" t="s">
        <v>199</v>
      </c>
      <c r="AG66" s="30" t="s">
        <v>199</v>
      </c>
      <c r="AH66" s="30">
        <v>0.0</v>
      </c>
      <c r="AI66" s="30" t="s">
        <v>199</v>
      </c>
      <c r="AJ66" s="30">
        <v>0.0</v>
      </c>
      <c r="AK66" s="32"/>
      <c r="AL66" s="25"/>
      <c r="AM66" s="25"/>
      <c r="AN66" s="25"/>
      <c r="AO66" s="25"/>
      <c r="AP66" s="25"/>
    </row>
    <row r="67" ht="15.75" customHeight="1">
      <c r="A67" s="16" t="s">
        <v>167</v>
      </c>
      <c r="B67" s="16">
        <v>2016.0</v>
      </c>
      <c r="C67" s="16" t="s">
        <v>147</v>
      </c>
      <c r="D67" s="16">
        <v>12.0</v>
      </c>
      <c r="E67" s="16">
        <v>18.0</v>
      </c>
      <c r="F67" s="16" t="s">
        <v>199</v>
      </c>
      <c r="G67" s="16" t="s">
        <v>154</v>
      </c>
      <c r="H67" s="16"/>
      <c r="I67" s="16"/>
      <c r="J67" s="16"/>
      <c r="K67" s="16" t="s">
        <v>578</v>
      </c>
      <c r="L67" s="16" t="s">
        <v>579</v>
      </c>
      <c r="M67" s="19">
        <v>57.3</v>
      </c>
      <c r="N67" s="16" t="s">
        <v>568</v>
      </c>
      <c r="O67" s="16" t="s">
        <v>176</v>
      </c>
      <c r="P67" s="40">
        <v>0.44236111111111115</v>
      </c>
      <c r="Q67" s="16" t="s">
        <v>309</v>
      </c>
      <c r="R67" s="22" t="s">
        <v>194</v>
      </c>
      <c r="S67" s="16" t="s">
        <v>197</v>
      </c>
      <c r="T67" s="16" t="s">
        <v>198</v>
      </c>
      <c r="U67" s="16">
        <v>137.0</v>
      </c>
      <c r="V67" s="16">
        <v>111.0</v>
      </c>
      <c r="W67" s="16">
        <v>98.0</v>
      </c>
      <c r="X67" s="23" t="s">
        <v>199</v>
      </c>
      <c r="Y67" s="23">
        <v>1.0</v>
      </c>
      <c r="Z67" s="23">
        <v>0.0</v>
      </c>
      <c r="AA67" s="16" t="s">
        <v>760</v>
      </c>
      <c r="AB67" s="43">
        <v>57.0</v>
      </c>
      <c r="AC67" s="23" t="s">
        <v>199</v>
      </c>
      <c r="AD67" s="23" t="s">
        <v>199</v>
      </c>
      <c r="AE67" s="23" t="s">
        <v>199</v>
      </c>
      <c r="AF67" s="23" t="s">
        <v>199</v>
      </c>
      <c r="AG67" s="23" t="s">
        <v>199</v>
      </c>
      <c r="AH67" s="23">
        <v>0.0</v>
      </c>
      <c r="AI67" s="23" t="s">
        <v>199</v>
      </c>
      <c r="AJ67" s="23">
        <v>0.0</v>
      </c>
      <c r="AK67" s="24"/>
      <c r="AL67" s="25"/>
      <c r="AM67" s="25"/>
      <c r="AN67" s="25"/>
      <c r="AO67" s="25"/>
      <c r="AP67" s="25"/>
    </row>
    <row r="68" ht="15.75" customHeight="1">
      <c r="A68" s="26" t="s">
        <v>167</v>
      </c>
      <c r="B68" s="26">
        <v>2016.0</v>
      </c>
      <c r="C68" s="26" t="s">
        <v>147</v>
      </c>
      <c r="D68" s="26">
        <v>12.0</v>
      </c>
      <c r="E68" s="26">
        <v>19.0</v>
      </c>
      <c r="F68" s="26" t="s">
        <v>199</v>
      </c>
      <c r="G68" s="26" t="s">
        <v>154</v>
      </c>
      <c r="H68" s="26"/>
      <c r="I68" s="26"/>
      <c r="J68" s="26"/>
      <c r="K68" s="26" t="s">
        <v>583</v>
      </c>
      <c r="L68" s="26" t="s">
        <v>584</v>
      </c>
      <c r="M68" s="27">
        <v>62.0</v>
      </c>
      <c r="N68" s="26" t="s">
        <v>568</v>
      </c>
      <c r="O68" s="26" t="s">
        <v>176</v>
      </c>
      <c r="P68" s="41">
        <v>0.4597222222222222</v>
      </c>
      <c r="Q68" s="26" t="s">
        <v>309</v>
      </c>
      <c r="R68" s="29" t="s">
        <v>194</v>
      </c>
      <c r="S68" s="26" t="s">
        <v>197</v>
      </c>
      <c r="T68" s="26" t="s">
        <v>221</v>
      </c>
      <c r="U68" s="26">
        <v>117.0</v>
      </c>
      <c r="V68" s="26">
        <v>93.0</v>
      </c>
      <c r="W68" s="26">
        <v>87.0</v>
      </c>
      <c r="X68" s="30" t="s">
        <v>199</v>
      </c>
      <c r="Y68" s="30">
        <v>1.0</v>
      </c>
      <c r="Z68" s="30">
        <v>0.0</v>
      </c>
      <c r="AA68" s="26" t="s">
        <v>764</v>
      </c>
      <c r="AB68" s="42">
        <v>69.0</v>
      </c>
      <c r="AC68" s="30" t="s">
        <v>199</v>
      </c>
      <c r="AD68" s="30" t="s">
        <v>199</v>
      </c>
      <c r="AE68" s="30" t="s">
        <v>199</v>
      </c>
      <c r="AF68" s="30" t="s">
        <v>199</v>
      </c>
      <c r="AG68" s="30" t="s">
        <v>199</v>
      </c>
      <c r="AH68" s="30">
        <v>0.0</v>
      </c>
      <c r="AI68" s="30" t="s">
        <v>199</v>
      </c>
      <c r="AJ68" s="30">
        <v>0.0</v>
      </c>
      <c r="AK68" s="32"/>
      <c r="AL68" s="25"/>
      <c r="AM68" s="25"/>
      <c r="AN68" s="25"/>
      <c r="AO68" s="25"/>
      <c r="AP68" s="25"/>
    </row>
    <row r="69" ht="15.75" customHeight="1">
      <c r="A69" s="16" t="s">
        <v>167</v>
      </c>
      <c r="B69" s="16">
        <v>2016.0</v>
      </c>
      <c r="C69" s="16" t="s">
        <v>147</v>
      </c>
      <c r="D69" s="16">
        <v>12.0</v>
      </c>
      <c r="E69" s="16">
        <v>20.0</v>
      </c>
      <c r="F69" s="16" t="s">
        <v>769</v>
      </c>
      <c r="G69" s="16" t="s">
        <v>154</v>
      </c>
      <c r="H69" s="16"/>
      <c r="I69" s="16"/>
      <c r="J69" s="16"/>
      <c r="K69" s="16" t="s">
        <v>616</v>
      </c>
      <c r="L69" s="16" t="s">
        <v>617</v>
      </c>
      <c r="M69" s="19">
        <v>56.0</v>
      </c>
      <c r="N69" s="16" t="s">
        <v>588</v>
      </c>
      <c r="O69" s="16" t="s">
        <v>176</v>
      </c>
      <c r="P69" s="40">
        <v>0.4909722222222222</v>
      </c>
      <c r="Q69" s="16" t="s">
        <v>267</v>
      </c>
      <c r="R69" s="22" t="s">
        <v>666</v>
      </c>
      <c r="S69" s="16" t="s">
        <v>668</v>
      </c>
      <c r="T69" s="16" t="s">
        <v>221</v>
      </c>
      <c r="U69" s="16">
        <v>240.0</v>
      </c>
      <c r="V69" s="16">
        <v>171.0</v>
      </c>
      <c r="W69" s="16">
        <v>151.0</v>
      </c>
      <c r="X69" s="23" t="s">
        <v>199</v>
      </c>
      <c r="Y69" s="23">
        <v>1.0</v>
      </c>
      <c r="Z69" s="23">
        <v>0.0</v>
      </c>
      <c r="AA69" s="16" t="s">
        <v>777</v>
      </c>
      <c r="AB69" s="23" t="s">
        <v>199</v>
      </c>
      <c r="AC69" s="23" t="s">
        <v>199</v>
      </c>
      <c r="AD69" s="23" t="s">
        <v>199</v>
      </c>
      <c r="AE69" s="16" t="s">
        <v>778</v>
      </c>
      <c r="AF69" s="23" t="s">
        <v>199</v>
      </c>
      <c r="AG69" s="23" t="s">
        <v>199</v>
      </c>
      <c r="AH69" s="23">
        <v>0.0</v>
      </c>
      <c r="AI69" s="23" t="s">
        <v>199</v>
      </c>
      <c r="AJ69" s="23">
        <v>0.0</v>
      </c>
      <c r="AK69" s="24"/>
      <c r="AL69" s="25"/>
      <c r="AM69" s="25"/>
      <c r="AN69" s="25"/>
      <c r="AO69" s="25"/>
      <c r="AP69" s="25"/>
    </row>
    <row r="70" ht="15.75" customHeight="1">
      <c r="A70" s="26" t="s">
        <v>167</v>
      </c>
      <c r="B70" s="26">
        <v>2016.0</v>
      </c>
      <c r="C70" s="26" t="s">
        <v>147</v>
      </c>
      <c r="D70" s="26">
        <v>16.0</v>
      </c>
      <c r="E70" s="26">
        <v>21.0</v>
      </c>
      <c r="F70" s="26" t="s">
        <v>199</v>
      </c>
      <c r="G70" s="26" t="s">
        <v>154</v>
      </c>
      <c r="H70" s="26"/>
      <c r="I70" s="26"/>
      <c r="J70" s="26"/>
      <c r="K70" s="26" t="s">
        <v>775</v>
      </c>
      <c r="L70" s="26" t="s">
        <v>776</v>
      </c>
      <c r="M70" s="27">
        <v>76.9</v>
      </c>
      <c r="N70" s="26" t="s">
        <v>774</v>
      </c>
      <c r="O70" s="26" t="s">
        <v>176</v>
      </c>
      <c r="P70" s="41">
        <v>0.5097222222222222</v>
      </c>
      <c r="Q70" s="26" t="s">
        <v>309</v>
      </c>
      <c r="R70" s="29" t="s">
        <v>194</v>
      </c>
      <c r="S70" s="26" t="s">
        <v>197</v>
      </c>
      <c r="T70" s="26" t="s">
        <v>198</v>
      </c>
      <c r="U70" s="26"/>
      <c r="V70" s="26"/>
      <c r="W70" s="26"/>
      <c r="X70" s="30" t="s">
        <v>199</v>
      </c>
      <c r="Y70" s="30">
        <v>0.0</v>
      </c>
      <c r="Z70" s="30">
        <v>0.0</v>
      </c>
      <c r="AA70" s="30" t="s">
        <v>199</v>
      </c>
      <c r="AB70" s="30" t="s">
        <v>199</v>
      </c>
      <c r="AC70" s="30" t="s">
        <v>199</v>
      </c>
      <c r="AD70" s="30" t="s">
        <v>199</v>
      </c>
      <c r="AE70" s="30" t="s">
        <v>199</v>
      </c>
      <c r="AF70" s="30" t="s">
        <v>199</v>
      </c>
      <c r="AG70" s="30" t="s">
        <v>199</v>
      </c>
      <c r="AH70" s="30">
        <v>0.0</v>
      </c>
      <c r="AI70" s="30" t="s">
        <v>199</v>
      </c>
      <c r="AJ70" s="30">
        <v>0.0</v>
      </c>
      <c r="AK70" s="32" t="s">
        <v>786</v>
      </c>
      <c r="AL70" s="25"/>
      <c r="AM70" s="25"/>
      <c r="AN70" s="25"/>
      <c r="AO70" s="25"/>
      <c r="AP70" s="25"/>
    </row>
    <row r="71" ht="15.75" customHeight="1">
      <c r="A71" s="16" t="s">
        <v>167</v>
      </c>
      <c r="B71" s="16">
        <v>2016.0</v>
      </c>
      <c r="C71" s="16" t="s">
        <v>147</v>
      </c>
      <c r="D71" s="16">
        <v>16.0</v>
      </c>
      <c r="E71" s="16">
        <v>22.0</v>
      </c>
      <c r="F71" s="16" t="s">
        <v>199</v>
      </c>
      <c r="G71" s="16" t="s">
        <v>154</v>
      </c>
      <c r="H71" s="16"/>
      <c r="I71" s="16"/>
      <c r="J71" s="16"/>
      <c r="K71" s="16" t="s">
        <v>771</v>
      </c>
      <c r="L71" s="16" t="s">
        <v>767</v>
      </c>
      <c r="M71" s="19">
        <v>57.7</v>
      </c>
      <c r="N71" s="16" t="s">
        <v>770</v>
      </c>
      <c r="O71" s="16" t="s">
        <v>176</v>
      </c>
      <c r="P71" s="40">
        <v>0.5222222222222223</v>
      </c>
      <c r="Q71" s="16" t="s">
        <v>309</v>
      </c>
      <c r="R71" s="22" t="s">
        <v>194</v>
      </c>
      <c r="S71" s="16" t="s">
        <v>197</v>
      </c>
      <c r="T71" s="16" t="s">
        <v>221</v>
      </c>
      <c r="U71" s="16">
        <v>102.0</v>
      </c>
      <c r="V71" s="16">
        <v>81.0</v>
      </c>
      <c r="W71" s="16">
        <v>72.0</v>
      </c>
      <c r="X71" s="23" t="s">
        <v>199</v>
      </c>
      <c r="Y71" s="23">
        <v>1.0</v>
      </c>
      <c r="Z71" s="23">
        <v>0.0</v>
      </c>
      <c r="AA71" s="16" t="s">
        <v>787</v>
      </c>
      <c r="AB71" s="23" t="s">
        <v>199</v>
      </c>
      <c r="AC71" s="23" t="s">
        <v>199</v>
      </c>
      <c r="AD71" s="23" t="s">
        <v>199</v>
      </c>
      <c r="AE71" s="23" t="s">
        <v>199</v>
      </c>
      <c r="AF71" s="23" t="s">
        <v>199</v>
      </c>
      <c r="AG71" s="23" t="s">
        <v>199</v>
      </c>
      <c r="AH71" s="23">
        <v>0.0</v>
      </c>
      <c r="AI71" s="23" t="s">
        <v>199</v>
      </c>
      <c r="AJ71" s="23">
        <v>0.0</v>
      </c>
      <c r="AK71" s="24"/>
      <c r="AL71" s="25"/>
      <c r="AM71" s="25"/>
      <c r="AN71" s="25"/>
      <c r="AO71" s="25"/>
      <c r="AP71" s="25"/>
    </row>
    <row r="72" ht="15.75" customHeight="1">
      <c r="A72" s="26" t="s">
        <v>167</v>
      </c>
      <c r="B72" s="26">
        <v>2016.0</v>
      </c>
      <c r="C72" s="26" t="s">
        <v>147</v>
      </c>
      <c r="D72" s="26">
        <v>17.0</v>
      </c>
      <c r="E72" s="26">
        <v>23.0</v>
      </c>
      <c r="F72" s="26" t="s">
        <v>199</v>
      </c>
      <c r="G72" s="26" t="s">
        <v>154</v>
      </c>
      <c r="H72" s="26"/>
      <c r="I72" s="26"/>
      <c r="J72" s="26"/>
      <c r="K72" s="26" t="s">
        <v>788</v>
      </c>
      <c r="L72" s="26" t="s">
        <v>789</v>
      </c>
      <c r="M72" s="27">
        <v>62.0</v>
      </c>
      <c r="N72" s="26" t="s">
        <v>790</v>
      </c>
      <c r="O72" s="26" t="s">
        <v>176</v>
      </c>
      <c r="P72" s="41">
        <v>0.3333333333333333</v>
      </c>
      <c r="Q72" s="26" t="s">
        <v>267</v>
      </c>
      <c r="R72" s="29" t="s">
        <v>194</v>
      </c>
      <c r="S72" s="26" t="s">
        <v>197</v>
      </c>
      <c r="T72" s="26" t="s">
        <v>198</v>
      </c>
      <c r="U72" s="26">
        <v>169.0</v>
      </c>
      <c r="V72" s="26">
        <v>137.0</v>
      </c>
      <c r="W72" s="26">
        <v>123.0</v>
      </c>
      <c r="X72" s="30" t="s">
        <v>199</v>
      </c>
      <c r="Y72" s="30">
        <v>1.0</v>
      </c>
      <c r="Z72" s="30">
        <v>0.0</v>
      </c>
      <c r="AA72" s="26" t="s">
        <v>791</v>
      </c>
      <c r="AB72" s="30" t="s">
        <v>199</v>
      </c>
      <c r="AC72" s="30" t="s">
        <v>199</v>
      </c>
      <c r="AD72" s="30" t="s">
        <v>199</v>
      </c>
      <c r="AE72" s="30" t="s">
        <v>199</v>
      </c>
      <c r="AF72" s="30" t="s">
        <v>199</v>
      </c>
      <c r="AG72" s="30" t="s">
        <v>199</v>
      </c>
      <c r="AH72" s="30">
        <v>0.0</v>
      </c>
      <c r="AI72" s="30" t="s">
        <v>199</v>
      </c>
      <c r="AJ72" s="30">
        <v>0.0</v>
      </c>
      <c r="AK72" s="32"/>
      <c r="AL72" s="25"/>
      <c r="AM72" s="25"/>
      <c r="AN72" s="25"/>
      <c r="AO72" s="25"/>
      <c r="AP72" s="25"/>
    </row>
    <row r="73" ht="15.75" customHeight="1">
      <c r="A73" s="16" t="s">
        <v>167</v>
      </c>
      <c r="B73" s="16">
        <v>2016.0</v>
      </c>
      <c r="C73" s="16" t="s">
        <v>147</v>
      </c>
      <c r="D73" s="16">
        <v>17.0</v>
      </c>
      <c r="E73" s="16">
        <v>24.0</v>
      </c>
      <c r="F73" s="16" t="s">
        <v>199</v>
      </c>
      <c r="G73" s="16" t="s">
        <v>154</v>
      </c>
      <c r="H73" s="16"/>
      <c r="I73" s="16"/>
      <c r="J73" s="16"/>
      <c r="K73" s="16" t="s">
        <v>792</v>
      </c>
      <c r="L73" s="16" t="s">
        <v>793</v>
      </c>
      <c r="M73" s="19">
        <v>80.9</v>
      </c>
      <c r="N73" s="16" t="s">
        <v>795</v>
      </c>
      <c r="O73" s="16" t="s">
        <v>176</v>
      </c>
      <c r="P73" s="40">
        <v>0.3527777777777778</v>
      </c>
      <c r="Q73" s="16" t="s">
        <v>309</v>
      </c>
      <c r="R73" s="22" t="s">
        <v>194</v>
      </c>
      <c r="S73" s="16" t="s">
        <v>197</v>
      </c>
      <c r="T73" s="16" t="s">
        <v>198</v>
      </c>
      <c r="U73" s="16">
        <v>88.0</v>
      </c>
      <c r="V73" s="16">
        <v>88.0</v>
      </c>
      <c r="W73" s="16">
        <v>71.0</v>
      </c>
      <c r="X73" s="23" t="s">
        <v>199</v>
      </c>
      <c r="Y73" s="23">
        <v>1.0</v>
      </c>
      <c r="Z73" s="23">
        <v>0.0</v>
      </c>
      <c r="AA73" s="16" t="s">
        <v>796</v>
      </c>
      <c r="AB73" s="23" t="s">
        <v>199</v>
      </c>
      <c r="AC73" s="23" t="s">
        <v>199</v>
      </c>
      <c r="AD73" s="23" t="s">
        <v>199</v>
      </c>
      <c r="AE73" s="23" t="s">
        <v>199</v>
      </c>
      <c r="AF73" s="23" t="s">
        <v>199</v>
      </c>
      <c r="AG73" s="23" t="s">
        <v>199</v>
      </c>
      <c r="AH73" s="23">
        <v>0.0</v>
      </c>
      <c r="AI73" s="23" t="s">
        <v>199</v>
      </c>
      <c r="AJ73" s="23">
        <v>0.0</v>
      </c>
      <c r="AK73" s="24"/>
      <c r="AL73" s="25"/>
      <c r="AM73" s="25"/>
      <c r="AN73" s="25"/>
      <c r="AO73" s="25"/>
      <c r="AP73" s="25"/>
    </row>
    <row r="74" ht="15.75" customHeight="1">
      <c r="A74" s="26" t="s">
        <v>167</v>
      </c>
      <c r="B74" s="26">
        <v>2016.0</v>
      </c>
      <c r="C74" s="26" t="s">
        <v>147</v>
      </c>
      <c r="D74" s="26">
        <v>17.0</v>
      </c>
      <c r="E74" s="26">
        <v>25.0</v>
      </c>
      <c r="F74" s="26" t="s">
        <v>199</v>
      </c>
      <c r="G74" s="26" t="s">
        <v>154</v>
      </c>
      <c r="H74" s="26"/>
      <c r="I74" s="26"/>
      <c r="J74" s="26"/>
      <c r="K74" s="26" t="s">
        <v>798</v>
      </c>
      <c r="L74" s="26" t="s">
        <v>799</v>
      </c>
      <c r="M74" s="27">
        <v>79.0</v>
      </c>
      <c r="N74" s="26" t="s">
        <v>800</v>
      </c>
      <c r="O74" s="26" t="s">
        <v>176</v>
      </c>
      <c r="P74" s="41">
        <v>0.3638888888888889</v>
      </c>
      <c r="Q74" s="26" t="s">
        <v>309</v>
      </c>
      <c r="R74" s="29" t="s">
        <v>194</v>
      </c>
      <c r="S74" s="26" t="s">
        <v>197</v>
      </c>
      <c r="T74" s="26" t="s">
        <v>221</v>
      </c>
      <c r="U74" s="26">
        <v>113.0</v>
      </c>
      <c r="V74" s="26">
        <v>92.0</v>
      </c>
      <c r="W74" s="26">
        <v>83.0</v>
      </c>
      <c r="X74" s="30" t="s">
        <v>199</v>
      </c>
      <c r="Y74" s="30">
        <v>1.0</v>
      </c>
      <c r="Z74" s="30">
        <v>0.0</v>
      </c>
      <c r="AA74" s="26" t="s">
        <v>801</v>
      </c>
      <c r="AB74" s="30" t="s">
        <v>199</v>
      </c>
      <c r="AC74" s="30" t="s">
        <v>199</v>
      </c>
      <c r="AD74" s="30" t="s">
        <v>199</v>
      </c>
      <c r="AE74" s="30" t="s">
        <v>199</v>
      </c>
      <c r="AF74" s="30" t="s">
        <v>199</v>
      </c>
      <c r="AG74" s="30" t="s">
        <v>199</v>
      </c>
      <c r="AH74" s="30">
        <v>0.0</v>
      </c>
      <c r="AI74" s="30" t="s">
        <v>199</v>
      </c>
      <c r="AJ74" s="30">
        <v>0.0</v>
      </c>
      <c r="AK74" s="32"/>
      <c r="AL74" s="25"/>
      <c r="AM74" s="25"/>
      <c r="AN74" s="25"/>
      <c r="AO74" s="25"/>
      <c r="AP74" s="25"/>
    </row>
    <row r="75" ht="15.75" customHeight="1">
      <c r="A75" s="16" t="s">
        <v>167</v>
      </c>
      <c r="B75" s="16">
        <v>2016.0</v>
      </c>
      <c r="C75" s="16" t="s">
        <v>147</v>
      </c>
      <c r="D75" s="16">
        <v>17.0</v>
      </c>
      <c r="E75" s="16">
        <v>26.0</v>
      </c>
      <c r="F75" s="16" t="s">
        <v>199</v>
      </c>
      <c r="G75" s="16" t="s">
        <v>154</v>
      </c>
      <c r="H75" s="16"/>
      <c r="I75" s="16"/>
      <c r="J75" s="16"/>
      <c r="K75" s="16" t="s">
        <v>803</v>
      </c>
      <c r="L75" s="16" t="s">
        <v>804</v>
      </c>
      <c r="M75" s="19">
        <v>76.7</v>
      </c>
      <c r="N75" s="16" t="s">
        <v>805</v>
      </c>
      <c r="O75" s="16" t="s">
        <v>176</v>
      </c>
      <c r="P75" s="40">
        <v>0.375</v>
      </c>
      <c r="Q75" s="16" t="s">
        <v>806</v>
      </c>
      <c r="R75" s="22" t="s">
        <v>194</v>
      </c>
      <c r="S75" s="16" t="s">
        <v>197</v>
      </c>
      <c r="T75" s="16" t="s">
        <v>221</v>
      </c>
      <c r="U75" s="16">
        <v>127.0</v>
      </c>
      <c r="V75" s="16">
        <v>102.0</v>
      </c>
      <c r="W75" s="16">
        <v>90.0</v>
      </c>
      <c r="X75" s="23" t="s">
        <v>199</v>
      </c>
      <c r="Y75" s="23">
        <v>1.0</v>
      </c>
      <c r="Z75" s="23">
        <v>0.0</v>
      </c>
      <c r="AA75" s="16" t="s">
        <v>807</v>
      </c>
      <c r="AB75" s="23" t="s">
        <v>199</v>
      </c>
      <c r="AC75" s="23" t="s">
        <v>199</v>
      </c>
      <c r="AD75" s="23" t="s">
        <v>199</v>
      </c>
      <c r="AE75" s="23" t="s">
        <v>199</v>
      </c>
      <c r="AF75" s="23" t="s">
        <v>199</v>
      </c>
      <c r="AG75" s="23" t="s">
        <v>199</v>
      </c>
      <c r="AH75" s="23">
        <v>0.0</v>
      </c>
      <c r="AI75" s="23" t="s">
        <v>199</v>
      </c>
      <c r="AJ75" s="23">
        <v>0.0</v>
      </c>
      <c r="AK75" s="24"/>
      <c r="AL75" s="25"/>
      <c r="AM75" s="25"/>
      <c r="AN75" s="25"/>
      <c r="AO75" s="25"/>
      <c r="AP75" s="25"/>
    </row>
    <row r="76" ht="15.75" customHeight="1">
      <c r="A76" s="26" t="s">
        <v>167</v>
      </c>
      <c r="B76" s="26">
        <v>2016.0</v>
      </c>
      <c r="C76" s="26" t="s">
        <v>147</v>
      </c>
      <c r="D76" s="26">
        <v>17.0</v>
      </c>
      <c r="E76" s="26">
        <v>27.0</v>
      </c>
      <c r="F76" s="26" t="s">
        <v>199</v>
      </c>
      <c r="G76" s="26" t="s">
        <v>154</v>
      </c>
      <c r="H76" s="26"/>
      <c r="I76" s="26"/>
      <c r="J76" s="26"/>
      <c r="K76" s="26" t="s">
        <v>788</v>
      </c>
      <c r="L76" s="26" t="s">
        <v>789</v>
      </c>
      <c r="M76" s="27">
        <v>62.0</v>
      </c>
      <c r="N76" s="26" t="s">
        <v>790</v>
      </c>
      <c r="O76" s="26" t="s">
        <v>176</v>
      </c>
      <c r="P76" s="41">
        <v>0.4159722222222222</v>
      </c>
      <c r="Q76" s="26" t="s">
        <v>287</v>
      </c>
      <c r="R76" s="29" t="s">
        <v>194</v>
      </c>
      <c r="S76" s="26" t="s">
        <v>197</v>
      </c>
      <c r="T76" s="26" t="s">
        <v>198</v>
      </c>
      <c r="U76" s="26">
        <v>108.0</v>
      </c>
      <c r="V76" s="26">
        <v>87.0</v>
      </c>
      <c r="W76" s="26">
        <v>77.0</v>
      </c>
      <c r="X76" s="30" t="s">
        <v>199</v>
      </c>
      <c r="Y76" s="30">
        <v>1.0</v>
      </c>
      <c r="Z76" s="30">
        <v>0.0</v>
      </c>
      <c r="AA76" s="26" t="s">
        <v>811</v>
      </c>
      <c r="AB76" s="30" t="s">
        <v>199</v>
      </c>
      <c r="AC76" s="30" t="s">
        <v>199</v>
      </c>
      <c r="AD76" s="30" t="s">
        <v>199</v>
      </c>
      <c r="AE76" s="30" t="s">
        <v>199</v>
      </c>
      <c r="AF76" s="30" t="s">
        <v>199</v>
      </c>
      <c r="AG76" s="30" t="s">
        <v>199</v>
      </c>
      <c r="AH76" s="30">
        <v>0.0</v>
      </c>
      <c r="AI76" s="30" t="s">
        <v>199</v>
      </c>
      <c r="AJ76" s="30">
        <v>0.0</v>
      </c>
      <c r="AK76" s="32" t="s">
        <v>813</v>
      </c>
      <c r="AL76" s="25"/>
      <c r="AM76" s="25"/>
      <c r="AN76" s="25"/>
      <c r="AO76" s="25"/>
      <c r="AP76" s="25"/>
    </row>
    <row r="77" ht="15.75" customHeight="1">
      <c r="A77" s="16" t="s">
        <v>167</v>
      </c>
      <c r="B77" s="16">
        <v>2016.0</v>
      </c>
      <c r="C77" s="16" t="s">
        <v>147</v>
      </c>
      <c r="D77" s="16">
        <v>17.0</v>
      </c>
      <c r="E77" s="16">
        <v>28.0</v>
      </c>
      <c r="F77" s="16" t="s">
        <v>199</v>
      </c>
      <c r="G77" s="16" t="s">
        <v>154</v>
      </c>
      <c r="H77" s="16"/>
      <c r="I77" s="16"/>
      <c r="J77" s="16"/>
      <c r="K77" s="16" t="s">
        <v>815</v>
      </c>
      <c r="L77" s="16" t="s">
        <v>816</v>
      </c>
      <c r="M77" s="19">
        <v>67.6</v>
      </c>
      <c r="N77" s="16" t="s">
        <v>817</v>
      </c>
      <c r="O77" s="16" t="s">
        <v>176</v>
      </c>
      <c r="P77" s="40">
        <v>0.4277777777777778</v>
      </c>
      <c r="Q77" s="16" t="s">
        <v>267</v>
      </c>
      <c r="R77" s="22" t="s">
        <v>194</v>
      </c>
      <c r="S77" s="16" t="s">
        <v>197</v>
      </c>
      <c r="T77" s="16" t="s">
        <v>198</v>
      </c>
      <c r="U77" s="16">
        <v>112.0</v>
      </c>
      <c r="V77" s="16">
        <v>90.0</v>
      </c>
      <c r="W77" s="16">
        <v>81.0</v>
      </c>
      <c r="X77" s="23" t="s">
        <v>199</v>
      </c>
      <c r="Y77" s="23">
        <v>1.0</v>
      </c>
      <c r="Z77" s="23">
        <v>0.0</v>
      </c>
      <c r="AA77" s="16" t="s">
        <v>821</v>
      </c>
      <c r="AB77" s="23" t="s">
        <v>199</v>
      </c>
      <c r="AC77" s="23" t="s">
        <v>199</v>
      </c>
      <c r="AD77" s="23" t="s">
        <v>199</v>
      </c>
      <c r="AE77" s="23" t="s">
        <v>199</v>
      </c>
      <c r="AF77" s="23" t="s">
        <v>199</v>
      </c>
      <c r="AG77" s="23" t="s">
        <v>199</v>
      </c>
      <c r="AH77" s="23">
        <v>0.0</v>
      </c>
      <c r="AI77" s="23" t="s">
        <v>199</v>
      </c>
      <c r="AJ77" s="23">
        <v>0.0</v>
      </c>
      <c r="AK77" s="24"/>
      <c r="AL77" s="25"/>
      <c r="AM77" s="25"/>
      <c r="AN77" s="25"/>
      <c r="AO77" s="25"/>
      <c r="AP77" s="25"/>
    </row>
    <row r="78" ht="15.75" customHeight="1">
      <c r="A78" s="26" t="s">
        <v>167</v>
      </c>
      <c r="B78" s="26">
        <v>2016.0</v>
      </c>
      <c r="C78" s="26" t="s">
        <v>147</v>
      </c>
      <c r="D78" s="26">
        <v>17.0</v>
      </c>
      <c r="E78" s="26">
        <v>29.0</v>
      </c>
      <c r="F78" s="26" t="s">
        <v>199</v>
      </c>
      <c r="G78" s="26" t="s">
        <v>154</v>
      </c>
      <c r="H78" s="26"/>
      <c r="I78" s="26"/>
      <c r="J78" s="26"/>
      <c r="K78" s="26" t="s">
        <v>822</v>
      </c>
      <c r="L78" s="26" t="s">
        <v>823</v>
      </c>
      <c r="M78" s="27">
        <v>59.6</v>
      </c>
      <c r="N78" s="26" t="s">
        <v>824</v>
      </c>
      <c r="O78" s="26" t="s">
        <v>176</v>
      </c>
      <c r="P78" s="41">
        <v>0.44027777777777777</v>
      </c>
      <c r="Q78" s="26" t="s">
        <v>309</v>
      </c>
      <c r="R78" s="29" t="s">
        <v>194</v>
      </c>
      <c r="S78" s="26" t="s">
        <v>197</v>
      </c>
      <c r="T78" s="26" t="s">
        <v>221</v>
      </c>
      <c r="U78" s="26">
        <v>110.0</v>
      </c>
      <c r="V78" s="26">
        <v>93.0</v>
      </c>
      <c r="W78" s="26">
        <v>82.0</v>
      </c>
      <c r="X78" s="30" t="s">
        <v>199</v>
      </c>
      <c r="Y78" s="30">
        <v>1.0</v>
      </c>
      <c r="Z78" s="30">
        <v>0.0</v>
      </c>
      <c r="AA78" s="26" t="s">
        <v>825</v>
      </c>
      <c r="AB78" s="30" t="s">
        <v>199</v>
      </c>
      <c r="AC78" s="30" t="s">
        <v>199</v>
      </c>
      <c r="AD78" s="30" t="s">
        <v>199</v>
      </c>
      <c r="AE78" s="30" t="s">
        <v>199</v>
      </c>
      <c r="AF78" s="30" t="s">
        <v>199</v>
      </c>
      <c r="AG78" s="30" t="s">
        <v>199</v>
      </c>
      <c r="AH78" s="30">
        <v>0.0</v>
      </c>
      <c r="AI78" s="30" t="s">
        <v>199</v>
      </c>
      <c r="AJ78" s="30">
        <v>0.0</v>
      </c>
      <c r="AK78" s="32"/>
      <c r="AL78" s="25"/>
      <c r="AM78" s="25"/>
      <c r="AN78" s="25"/>
      <c r="AO78" s="25"/>
      <c r="AP78" s="25"/>
    </row>
    <row r="79" ht="15.75" customHeight="1">
      <c r="A79" s="16" t="s">
        <v>167</v>
      </c>
      <c r="B79" s="16">
        <v>2016.0</v>
      </c>
      <c r="C79" s="16" t="s">
        <v>147</v>
      </c>
      <c r="D79" s="16">
        <v>17.0</v>
      </c>
      <c r="E79" s="16">
        <v>30.0</v>
      </c>
      <c r="F79" s="16" t="s">
        <v>199</v>
      </c>
      <c r="G79" s="16" t="s">
        <v>154</v>
      </c>
      <c r="H79" s="16"/>
      <c r="I79" s="16"/>
      <c r="J79" s="16"/>
      <c r="K79" s="16" t="s">
        <v>792</v>
      </c>
      <c r="L79" s="16" t="s">
        <v>793</v>
      </c>
      <c r="M79" s="19">
        <v>80.9</v>
      </c>
      <c r="N79" s="16" t="s">
        <v>795</v>
      </c>
      <c r="O79" s="16" t="s">
        <v>176</v>
      </c>
      <c r="P79" s="40">
        <v>0.4527777777777778</v>
      </c>
      <c r="Q79" s="16" t="s">
        <v>309</v>
      </c>
      <c r="R79" s="22" t="s">
        <v>194</v>
      </c>
      <c r="S79" s="16" t="s">
        <v>197</v>
      </c>
      <c r="T79" s="16" t="s">
        <v>198</v>
      </c>
      <c r="U79" s="16">
        <v>108.0</v>
      </c>
      <c r="V79" s="16">
        <v>89.0</v>
      </c>
      <c r="W79" s="16">
        <v>80.0</v>
      </c>
      <c r="X79" s="23" t="s">
        <v>199</v>
      </c>
      <c r="Y79" s="23">
        <v>1.0</v>
      </c>
      <c r="Z79" s="23">
        <v>0.0</v>
      </c>
      <c r="AA79" s="16" t="s">
        <v>830</v>
      </c>
      <c r="AB79" s="23" t="s">
        <v>199</v>
      </c>
      <c r="AC79" s="23" t="s">
        <v>199</v>
      </c>
      <c r="AD79" s="23" t="s">
        <v>199</v>
      </c>
      <c r="AE79" s="23" t="s">
        <v>199</v>
      </c>
      <c r="AF79" s="23" t="s">
        <v>199</v>
      </c>
      <c r="AG79" s="23" t="s">
        <v>199</v>
      </c>
      <c r="AH79" s="23">
        <v>0.0</v>
      </c>
      <c r="AI79" s="23" t="s">
        <v>199</v>
      </c>
      <c r="AJ79" s="23">
        <v>0.0</v>
      </c>
      <c r="AK79" s="24"/>
      <c r="AL79" s="25"/>
      <c r="AM79" s="25"/>
      <c r="AN79" s="25"/>
      <c r="AO79" s="25"/>
      <c r="AP79" s="25"/>
    </row>
    <row r="80" ht="15.75" customHeight="1">
      <c r="A80" s="26" t="s">
        <v>167</v>
      </c>
      <c r="B80" s="26">
        <v>2016.0</v>
      </c>
      <c r="C80" s="26" t="s">
        <v>147</v>
      </c>
      <c r="D80" s="26">
        <v>17.0</v>
      </c>
      <c r="E80" s="26">
        <v>31.0</v>
      </c>
      <c r="F80" s="26" t="s">
        <v>832</v>
      </c>
      <c r="G80" s="26" t="s">
        <v>154</v>
      </c>
      <c r="H80" s="26"/>
      <c r="I80" s="26"/>
      <c r="J80" s="26"/>
      <c r="K80" s="26" t="s">
        <v>822</v>
      </c>
      <c r="L80" s="26" t="s">
        <v>823</v>
      </c>
      <c r="M80" s="27">
        <v>59.6</v>
      </c>
      <c r="N80" s="26" t="s">
        <v>824</v>
      </c>
      <c r="O80" s="26" t="s">
        <v>176</v>
      </c>
      <c r="P80" s="41">
        <v>0.48819444444444443</v>
      </c>
      <c r="Q80" s="26" t="s">
        <v>267</v>
      </c>
      <c r="R80" s="29" t="s">
        <v>666</v>
      </c>
      <c r="S80" s="26" t="s">
        <v>668</v>
      </c>
      <c r="T80" s="26" t="s">
        <v>221</v>
      </c>
      <c r="U80" s="26">
        <v>316.0</v>
      </c>
      <c r="V80" s="26">
        <v>260.0</v>
      </c>
      <c r="W80" s="26">
        <v>240.0</v>
      </c>
      <c r="X80" s="30" t="s">
        <v>199</v>
      </c>
      <c r="Y80" s="30">
        <v>1.0</v>
      </c>
      <c r="Z80" s="30">
        <v>0.0</v>
      </c>
      <c r="AA80" s="26" t="s">
        <v>836</v>
      </c>
      <c r="AB80" s="30" t="s">
        <v>199</v>
      </c>
      <c r="AC80" s="30" t="s">
        <v>199</v>
      </c>
      <c r="AD80" s="30" t="s">
        <v>199</v>
      </c>
      <c r="AE80" s="26" t="s">
        <v>837</v>
      </c>
      <c r="AF80" s="30" t="s">
        <v>199</v>
      </c>
      <c r="AG80" s="30" t="s">
        <v>199</v>
      </c>
      <c r="AH80" s="30">
        <v>0.0</v>
      </c>
      <c r="AI80" s="30" t="s">
        <v>199</v>
      </c>
      <c r="AJ80" s="30">
        <v>0.0</v>
      </c>
      <c r="AK80" s="32" t="s">
        <v>838</v>
      </c>
      <c r="AL80" s="25"/>
      <c r="AM80" s="25"/>
      <c r="AN80" s="25"/>
      <c r="AO80" s="25"/>
      <c r="AP80" s="25"/>
    </row>
    <row r="81" ht="15.75" customHeight="1">
      <c r="A81" s="16" t="s">
        <v>167</v>
      </c>
      <c r="B81" s="16">
        <v>2016.0</v>
      </c>
      <c r="C81" s="16" t="s">
        <v>147</v>
      </c>
      <c r="D81" s="16">
        <v>17.0</v>
      </c>
      <c r="E81" s="16">
        <v>32.0</v>
      </c>
      <c r="F81" s="16" t="s">
        <v>199</v>
      </c>
      <c r="G81" s="16" t="s">
        <v>154</v>
      </c>
      <c r="H81" s="16"/>
      <c r="I81" s="16"/>
      <c r="J81" s="16"/>
      <c r="K81" s="16" t="s">
        <v>815</v>
      </c>
      <c r="L81" s="16" t="s">
        <v>816</v>
      </c>
      <c r="M81" s="19">
        <v>67.6</v>
      </c>
      <c r="N81" s="16" t="s">
        <v>817</v>
      </c>
      <c r="O81" s="16" t="s">
        <v>176</v>
      </c>
      <c r="P81" s="40">
        <v>0.5819444444444445</v>
      </c>
      <c r="Q81" s="16" t="s">
        <v>309</v>
      </c>
      <c r="R81" s="22" t="s">
        <v>666</v>
      </c>
      <c r="S81" s="16" t="s">
        <v>668</v>
      </c>
      <c r="T81" s="16" t="s">
        <v>221</v>
      </c>
      <c r="U81" s="16">
        <v>322.0</v>
      </c>
      <c r="V81" s="16">
        <v>271.0</v>
      </c>
      <c r="W81" s="16">
        <v>237.0</v>
      </c>
      <c r="X81" s="23" t="s">
        <v>199</v>
      </c>
      <c r="Y81" s="23">
        <v>1.0</v>
      </c>
      <c r="Z81" s="23">
        <v>0.0</v>
      </c>
      <c r="AA81" s="16" t="s">
        <v>841</v>
      </c>
      <c r="AB81" s="23" t="s">
        <v>199</v>
      </c>
      <c r="AC81" s="23" t="s">
        <v>199</v>
      </c>
      <c r="AD81" s="23" t="s">
        <v>199</v>
      </c>
      <c r="AE81" s="23" t="s">
        <v>199</v>
      </c>
      <c r="AF81" s="23" t="s">
        <v>199</v>
      </c>
      <c r="AG81" s="23" t="s">
        <v>199</v>
      </c>
      <c r="AH81" s="23">
        <v>0.0</v>
      </c>
      <c r="AI81" s="23" t="s">
        <v>199</v>
      </c>
      <c r="AJ81" s="23">
        <v>0.0</v>
      </c>
      <c r="AK81" s="24" t="s">
        <v>843</v>
      </c>
      <c r="AL81" s="25"/>
      <c r="AM81" s="25"/>
      <c r="AN81" s="25"/>
      <c r="AO81" s="25"/>
      <c r="AP81" s="25"/>
    </row>
    <row r="82" ht="15.75" customHeight="1">
      <c r="A82" s="26" t="s">
        <v>167</v>
      </c>
      <c r="B82" s="26">
        <v>2016.0</v>
      </c>
      <c r="C82" s="26" t="s">
        <v>147</v>
      </c>
      <c r="D82" s="26">
        <v>17.0</v>
      </c>
      <c r="E82" s="26">
        <v>33.0</v>
      </c>
      <c r="F82" s="26" t="s">
        <v>199</v>
      </c>
      <c r="G82" s="26" t="s">
        <v>154</v>
      </c>
      <c r="H82" s="26"/>
      <c r="I82" s="26"/>
      <c r="J82" s="26"/>
      <c r="K82" s="26" t="s">
        <v>803</v>
      </c>
      <c r="L82" s="26" t="s">
        <v>804</v>
      </c>
      <c r="M82" s="27">
        <v>76.7</v>
      </c>
      <c r="N82" s="26" t="s">
        <v>805</v>
      </c>
      <c r="O82" s="26" t="s">
        <v>176</v>
      </c>
      <c r="P82" s="41">
        <v>0.5597222222222222</v>
      </c>
      <c r="Q82" s="26" t="s">
        <v>309</v>
      </c>
      <c r="R82" s="29" t="s">
        <v>194</v>
      </c>
      <c r="S82" s="26" t="s">
        <v>197</v>
      </c>
      <c r="T82" s="26" t="s">
        <v>198</v>
      </c>
      <c r="U82" s="30" t="s">
        <v>199</v>
      </c>
      <c r="V82" s="30" t="s">
        <v>199</v>
      </c>
      <c r="W82" s="30" t="s">
        <v>199</v>
      </c>
      <c r="X82" s="30" t="s">
        <v>199</v>
      </c>
      <c r="Y82" s="30">
        <v>0.0</v>
      </c>
      <c r="Z82" s="30">
        <v>0.0</v>
      </c>
      <c r="AA82" s="30" t="s">
        <v>199</v>
      </c>
      <c r="AB82" s="30" t="s">
        <v>199</v>
      </c>
      <c r="AC82" s="30" t="s">
        <v>199</v>
      </c>
      <c r="AD82" s="30" t="s">
        <v>199</v>
      </c>
      <c r="AE82" s="30" t="s">
        <v>199</v>
      </c>
      <c r="AF82" s="30" t="s">
        <v>199</v>
      </c>
      <c r="AG82" s="30" t="s">
        <v>199</v>
      </c>
      <c r="AH82" s="30">
        <v>0.0</v>
      </c>
      <c r="AI82" s="30" t="s">
        <v>199</v>
      </c>
      <c r="AJ82" s="30">
        <v>0.0</v>
      </c>
      <c r="AK82" s="32" t="s">
        <v>849</v>
      </c>
      <c r="AL82" s="25"/>
      <c r="AM82" s="25"/>
      <c r="AN82" s="25"/>
      <c r="AO82" s="25"/>
      <c r="AP82" s="25"/>
    </row>
    <row r="83" ht="15.75" customHeight="1">
      <c r="A83" s="16" t="s">
        <v>167</v>
      </c>
      <c r="B83" s="16">
        <v>2016.0</v>
      </c>
      <c r="C83" s="16" t="s">
        <v>147</v>
      </c>
      <c r="D83" s="16">
        <v>17.0</v>
      </c>
      <c r="E83" s="16">
        <v>34.0</v>
      </c>
      <c r="F83" s="16" t="s">
        <v>850</v>
      </c>
      <c r="G83" s="16" t="s">
        <v>154</v>
      </c>
      <c r="H83" s="16"/>
      <c r="I83" s="16"/>
      <c r="J83" s="16"/>
      <c r="K83" s="16" t="s">
        <v>851</v>
      </c>
      <c r="L83" s="16" t="s">
        <v>852</v>
      </c>
      <c r="M83" s="19">
        <v>74.0</v>
      </c>
      <c r="N83" s="16" t="s">
        <v>853</v>
      </c>
      <c r="O83" s="16" t="s">
        <v>176</v>
      </c>
      <c r="P83" s="40">
        <v>0.59375</v>
      </c>
      <c r="Q83" s="16" t="s">
        <v>806</v>
      </c>
      <c r="R83" s="22" t="s">
        <v>666</v>
      </c>
      <c r="S83" s="16" t="s">
        <v>668</v>
      </c>
      <c r="T83" s="16" t="s">
        <v>221</v>
      </c>
      <c r="U83" s="16">
        <v>327.0</v>
      </c>
      <c r="V83" s="16">
        <v>278.0</v>
      </c>
      <c r="W83" s="16">
        <v>254.0</v>
      </c>
      <c r="X83" s="23" t="s">
        <v>199</v>
      </c>
      <c r="Y83" s="23">
        <v>1.0</v>
      </c>
      <c r="Z83" s="23">
        <v>0.0</v>
      </c>
      <c r="AA83" s="16" t="s">
        <v>854</v>
      </c>
      <c r="AB83" s="23" t="s">
        <v>199</v>
      </c>
      <c r="AC83" s="23" t="s">
        <v>199</v>
      </c>
      <c r="AD83" s="23" t="s">
        <v>199</v>
      </c>
      <c r="AE83" s="16" t="s">
        <v>855</v>
      </c>
      <c r="AF83" s="23" t="s">
        <v>199</v>
      </c>
      <c r="AG83" s="23" t="s">
        <v>199</v>
      </c>
      <c r="AH83" s="23">
        <v>0.0</v>
      </c>
      <c r="AI83" s="23" t="s">
        <v>199</v>
      </c>
      <c r="AJ83" s="23">
        <v>0.0</v>
      </c>
      <c r="AK83" s="24" t="s">
        <v>857</v>
      </c>
      <c r="AL83" s="25"/>
      <c r="AM83" s="25"/>
      <c r="AN83" s="25"/>
      <c r="AO83" s="25"/>
      <c r="AP83" s="25"/>
    </row>
    <row r="84" ht="15.75" customHeight="1">
      <c r="A84" s="26" t="s">
        <v>167</v>
      </c>
      <c r="B84" s="26">
        <v>2016.0</v>
      </c>
      <c r="C84" s="26" t="s">
        <v>147</v>
      </c>
      <c r="D84" s="26">
        <v>17.0</v>
      </c>
      <c r="E84" s="26">
        <v>35.0</v>
      </c>
      <c r="F84" s="26" t="s">
        <v>860</v>
      </c>
      <c r="G84" s="26" t="s">
        <v>154</v>
      </c>
      <c r="H84" s="26"/>
      <c r="I84" s="26"/>
      <c r="J84" s="26"/>
      <c r="K84" s="26" t="s">
        <v>861</v>
      </c>
      <c r="L84" s="26" t="s">
        <v>862</v>
      </c>
      <c r="M84" s="27">
        <v>76.7</v>
      </c>
      <c r="N84" s="26" t="s">
        <v>863</v>
      </c>
      <c r="O84" s="26" t="s">
        <v>176</v>
      </c>
      <c r="P84" s="41">
        <v>0.6513888888888889</v>
      </c>
      <c r="Q84" s="26" t="s">
        <v>806</v>
      </c>
      <c r="R84" s="29" t="s">
        <v>666</v>
      </c>
      <c r="S84" s="26" t="s">
        <v>668</v>
      </c>
      <c r="T84" s="26" t="s">
        <v>221</v>
      </c>
      <c r="U84" s="26">
        <v>357.0</v>
      </c>
      <c r="V84" s="26">
        <v>301.0</v>
      </c>
      <c r="W84" s="26">
        <v>270.0</v>
      </c>
      <c r="X84" s="30" t="s">
        <v>199</v>
      </c>
      <c r="Y84" s="30">
        <v>1.0</v>
      </c>
      <c r="Z84" s="30">
        <v>0.0</v>
      </c>
      <c r="AA84" s="26" t="s">
        <v>864</v>
      </c>
      <c r="AB84" s="30" t="s">
        <v>199</v>
      </c>
      <c r="AC84" s="30" t="s">
        <v>199</v>
      </c>
      <c r="AD84" s="30" t="s">
        <v>199</v>
      </c>
      <c r="AE84" s="26" t="s">
        <v>865</v>
      </c>
      <c r="AF84" s="30" t="s">
        <v>199</v>
      </c>
      <c r="AG84" s="30" t="s">
        <v>199</v>
      </c>
      <c r="AH84" s="30">
        <v>0.0</v>
      </c>
      <c r="AI84" s="30" t="s">
        <v>199</v>
      </c>
      <c r="AJ84" s="30">
        <v>0.0</v>
      </c>
      <c r="AK84" s="32" t="s">
        <v>866</v>
      </c>
      <c r="AL84" s="25"/>
      <c r="AM84" s="25"/>
      <c r="AN84" s="25"/>
      <c r="AO84" s="25"/>
      <c r="AP84" s="25"/>
    </row>
    <row r="85" ht="15.75" customHeight="1">
      <c r="A85" s="16" t="s">
        <v>167</v>
      </c>
      <c r="B85" s="16">
        <v>2016.0</v>
      </c>
      <c r="C85" s="16" t="s">
        <v>147</v>
      </c>
      <c r="D85" s="16">
        <v>18.0</v>
      </c>
      <c r="E85" s="16">
        <v>36.0</v>
      </c>
      <c r="F85" s="16" t="s">
        <v>199</v>
      </c>
      <c r="G85" s="16" t="s">
        <v>154</v>
      </c>
      <c r="H85" s="16"/>
      <c r="I85" s="16"/>
      <c r="J85" s="16"/>
      <c r="K85" s="16" t="s">
        <v>868</v>
      </c>
      <c r="L85" s="16" t="s">
        <v>869</v>
      </c>
      <c r="M85" s="19">
        <v>88.3</v>
      </c>
      <c r="N85" s="16" t="s">
        <v>871</v>
      </c>
      <c r="O85" s="16" t="s">
        <v>176</v>
      </c>
      <c r="P85" s="40">
        <v>0.4145833333333333</v>
      </c>
      <c r="Q85" s="16" t="s">
        <v>309</v>
      </c>
      <c r="R85" s="22" t="s">
        <v>194</v>
      </c>
      <c r="S85" s="16" t="s">
        <v>197</v>
      </c>
      <c r="T85" s="16" t="s">
        <v>198</v>
      </c>
      <c r="U85" s="16">
        <v>106.0</v>
      </c>
      <c r="V85" s="16">
        <v>83.0</v>
      </c>
      <c r="W85" s="16">
        <v>73.0</v>
      </c>
      <c r="X85" s="23" t="s">
        <v>199</v>
      </c>
      <c r="Y85" s="23">
        <v>1.0</v>
      </c>
      <c r="Z85" s="23">
        <v>0.0</v>
      </c>
      <c r="AA85" s="16" t="s">
        <v>872</v>
      </c>
      <c r="AB85" s="23" t="s">
        <v>199</v>
      </c>
      <c r="AC85" s="23" t="s">
        <v>199</v>
      </c>
      <c r="AD85" s="23" t="s">
        <v>199</v>
      </c>
      <c r="AE85" s="23" t="s">
        <v>199</v>
      </c>
      <c r="AF85" s="23" t="s">
        <v>199</v>
      </c>
      <c r="AG85" s="23" t="s">
        <v>199</v>
      </c>
      <c r="AH85" s="23">
        <v>0.0</v>
      </c>
      <c r="AI85" s="23" t="s">
        <v>199</v>
      </c>
      <c r="AJ85" s="23">
        <v>0.0</v>
      </c>
      <c r="AK85" s="24"/>
      <c r="AL85" s="25"/>
      <c r="AM85" s="25"/>
      <c r="AN85" s="25"/>
      <c r="AO85" s="25"/>
      <c r="AP85" s="25"/>
    </row>
    <row r="86" ht="15.75" customHeight="1">
      <c r="A86" s="26" t="s">
        <v>167</v>
      </c>
      <c r="B86" s="26">
        <v>2016.0</v>
      </c>
      <c r="C86" s="26" t="s">
        <v>147</v>
      </c>
      <c r="D86" s="26">
        <v>18.0</v>
      </c>
      <c r="E86" s="26">
        <v>37.0</v>
      </c>
      <c r="F86" s="26" t="s">
        <v>199</v>
      </c>
      <c r="G86" s="26" t="s">
        <v>154</v>
      </c>
      <c r="H86" s="26"/>
      <c r="I86" s="26"/>
      <c r="J86" s="26"/>
      <c r="K86" s="26" t="s">
        <v>873</v>
      </c>
      <c r="L86" s="26" t="s">
        <v>874</v>
      </c>
      <c r="M86" s="27">
        <v>100.4</v>
      </c>
      <c r="N86" s="26" t="s">
        <v>876</v>
      </c>
      <c r="O86" s="26" t="s">
        <v>176</v>
      </c>
      <c r="P86" s="41">
        <v>0.5187499999999999</v>
      </c>
      <c r="Q86" s="26" t="s">
        <v>309</v>
      </c>
      <c r="R86" s="29" t="s">
        <v>194</v>
      </c>
      <c r="S86" s="26" t="s">
        <v>197</v>
      </c>
      <c r="T86" s="26" t="s">
        <v>221</v>
      </c>
      <c r="U86" s="26">
        <v>179.0</v>
      </c>
      <c r="V86" s="26">
        <v>146.0</v>
      </c>
      <c r="W86" s="26">
        <v>132.0</v>
      </c>
      <c r="X86" s="30" t="s">
        <v>199</v>
      </c>
      <c r="Y86" s="30">
        <v>1.0</v>
      </c>
      <c r="Z86" s="30">
        <v>0.0</v>
      </c>
      <c r="AA86" s="26" t="s">
        <v>877</v>
      </c>
      <c r="AB86" s="30" t="s">
        <v>199</v>
      </c>
      <c r="AC86" s="30" t="s">
        <v>199</v>
      </c>
      <c r="AD86" s="30" t="s">
        <v>199</v>
      </c>
      <c r="AE86" s="30" t="s">
        <v>199</v>
      </c>
      <c r="AF86" s="30" t="s">
        <v>199</v>
      </c>
      <c r="AG86" s="30" t="s">
        <v>199</v>
      </c>
      <c r="AH86" s="30">
        <v>0.0</v>
      </c>
      <c r="AI86" s="30" t="s">
        <v>199</v>
      </c>
      <c r="AJ86" s="30">
        <v>0.0</v>
      </c>
      <c r="AK86" s="32"/>
      <c r="AL86" s="25"/>
      <c r="AM86" s="25"/>
      <c r="AN86" s="25"/>
      <c r="AO86" s="25"/>
      <c r="AP86" s="25"/>
    </row>
    <row r="87" ht="15.75" customHeight="1">
      <c r="A87" s="16" t="s">
        <v>167</v>
      </c>
      <c r="B87" s="16">
        <v>2016.0</v>
      </c>
      <c r="C87" s="16" t="s">
        <v>147</v>
      </c>
      <c r="D87" s="16">
        <v>19.0</v>
      </c>
      <c r="E87" s="16">
        <v>38.0</v>
      </c>
      <c r="F87" s="16" t="s">
        <v>881</v>
      </c>
      <c r="G87" s="16" t="s">
        <v>154</v>
      </c>
      <c r="H87" s="16"/>
      <c r="I87" s="16"/>
      <c r="J87" s="16"/>
      <c r="K87" s="16" t="s">
        <v>882</v>
      </c>
      <c r="L87" s="16" t="s">
        <v>883</v>
      </c>
      <c r="M87" s="19">
        <v>79.8</v>
      </c>
      <c r="N87" s="16" t="s">
        <v>884</v>
      </c>
      <c r="O87" s="16" t="s">
        <v>176</v>
      </c>
      <c r="P87" s="40">
        <v>0.6805555555555555</v>
      </c>
      <c r="Q87" s="16" t="s">
        <v>267</v>
      </c>
      <c r="R87" s="22" t="s">
        <v>666</v>
      </c>
      <c r="S87" s="16" t="s">
        <v>668</v>
      </c>
      <c r="T87" s="16" t="s">
        <v>221</v>
      </c>
      <c r="U87" s="16">
        <v>343.0</v>
      </c>
      <c r="V87" s="16">
        <v>286.0</v>
      </c>
      <c r="W87" s="16">
        <v>264.0</v>
      </c>
      <c r="X87" s="23" t="s">
        <v>199</v>
      </c>
      <c r="Y87" s="23">
        <v>1.0</v>
      </c>
      <c r="Z87" s="23">
        <v>0.0</v>
      </c>
      <c r="AA87" s="16" t="s">
        <v>886</v>
      </c>
      <c r="AB87" s="23" t="s">
        <v>199</v>
      </c>
      <c r="AC87" s="23" t="s">
        <v>199</v>
      </c>
      <c r="AD87" s="23" t="s">
        <v>199</v>
      </c>
      <c r="AE87" s="16" t="s">
        <v>889</v>
      </c>
      <c r="AF87" s="23" t="s">
        <v>199</v>
      </c>
      <c r="AG87" s="23" t="s">
        <v>199</v>
      </c>
      <c r="AH87" s="23">
        <v>0.0</v>
      </c>
      <c r="AI87" s="23" t="s">
        <v>199</v>
      </c>
      <c r="AJ87" s="23">
        <v>0.0</v>
      </c>
      <c r="AK87" s="24"/>
      <c r="AL87" s="25"/>
      <c r="AM87" s="25"/>
      <c r="AN87" s="25"/>
      <c r="AO87" s="25"/>
      <c r="AP87" s="25"/>
    </row>
    <row r="88" ht="15.75" customHeight="1">
      <c r="A88" s="26" t="s">
        <v>167</v>
      </c>
      <c r="B88" s="26">
        <v>2016.0</v>
      </c>
      <c r="C88" s="26" t="s">
        <v>147</v>
      </c>
      <c r="D88" s="26">
        <v>19.0</v>
      </c>
      <c r="E88" s="26">
        <v>39.0</v>
      </c>
      <c r="F88" s="26" t="s">
        <v>199</v>
      </c>
      <c r="G88" s="26" t="s">
        <v>154</v>
      </c>
      <c r="H88" s="26"/>
      <c r="I88" s="26"/>
      <c r="J88" s="26"/>
      <c r="K88" s="26" t="s">
        <v>892</v>
      </c>
      <c r="L88" s="26" t="s">
        <v>894</v>
      </c>
      <c r="M88" s="27">
        <v>78.4</v>
      </c>
      <c r="N88" s="26" t="s">
        <v>895</v>
      </c>
      <c r="O88" s="26" t="s">
        <v>176</v>
      </c>
      <c r="P88" s="41">
        <v>0.7361111111111112</v>
      </c>
      <c r="Q88" s="26" t="s">
        <v>896</v>
      </c>
      <c r="R88" s="29" t="s">
        <v>666</v>
      </c>
      <c r="S88" s="26" t="s">
        <v>668</v>
      </c>
      <c r="T88" s="26" t="s">
        <v>221</v>
      </c>
      <c r="U88" s="26">
        <v>289.0</v>
      </c>
      <c r="V88" s="26">
        <v>239.0</v>
      </c>
      <c r="W88" s="26">
        <v>214.0</v>
      </c>
      <c r="X88" s="30" t="s">
        <v>199</v>
      </c>
      <c r="Y88" s="30">
        <v>1.0</v>
      </c>
      <c r="Z88" s="30">
        <v>0.0</v>
      </c>
      <c r="AA88" s="26" t="s">
        <v>897</v>
      </c>
      <c r="AB88" s="30" t="s">
        <v>199</v>
      </c>
      <c r="AC88" s="30" t="s">
        <v>199</v>
      </c>
      <c r="AD88" s="30" t="s">
        <v>199</v>
      </c>
      <c r="AE88" s="30" t="s">
        <v>199</v>
      </c>
      <c r="AF88" s="30" t="s">
        <v>199</v>
      </c>
      <c r="AG88" s="30" t="s">
        <v>199</v>
      </c>
      <c r="AH88" s="30">
        <v>0.0</v>
      </c>
      <c r="AI88" s="30" t="s">
        <v>199</v>
      </c>
      <c r="AJ88" s="30">
        <v>0.0</v>
      </c>
      <c r="AK88" s="32" t="s">
        <v>898</v>
      </c>
      <c r="AL88" s="25"/>
      <c r="AM88" s="25"/>
      <c r="AN88" s="25"/>
      <c r="AO88" s="25"/>
      <c r="AP88" s="25"/>
    </row>
    <row r="89" ht="15.75" customHeight="1">
      <c r="A89" s="16" t="s">
        <v>167</v>
      </c>
      <c r="B89" s="16">
        <v>2016.0</v>
      </c>
      <c r="C89" s="16" t="s">
        <v>147</v>
      </c>
      <c r="D89" s="16">
        <v>20.0</v>
      </c>
      <c r="E89" s="16">
        <v>40.0</v>
      </c>
      <c r="F89" s="16" t="s">
        <v>199</v>
      </c>
      <c r="G89" s="16" t="s">
        <v>154</v>
      </c>
      <c r="H89" s="16"/>
      <c r="I89" s="16"/>
      <c r="J89" s="16"/>
      <c r="K89" s="16" t="s">
        <v>900</v>
      </c>
      <c r="L89" s="16" t="s">
        <v>901</v>
      </c>
      <c r="M89" s="19">
        <v>76.1</v>
      </c>
      <c r="N89" s="16" t="s">
        <v>902</v>
      </c>
      <c r="O89" s="16" t="s">
        <v>176</v>
      </c>
      <c r="P89" s="40">
        <v>0.4611111111111111</v>
      </c>
      <c r="Q89" s="16" t="s">
        <v>309</v>
      </c>
      <c r="R89" s="22" t="s">
        <v>194</v>
      </c>
      <c r="S89" s="16" t="s">
        <v>197</v>
      </c>
      <c r="T89" s="16" t="s">
        <v>221</v>
      </c>
      <c r="U89" s="16">
        <v>162.0</v>
      </c>
      <c r="V89" s="16">
        <v>131.0</v>
      </c>
      <c r="W89" s="16">
        <v>107.0</v>
      </c>
      <c r="X89" s="23" t="s">
        <v>199</v>
      </c>
      <c r="Y89" s="23">
        <v>1.0</v>
      </c>
      <c r="Z89" s="23">
        <v>0.0</v>
      </c>
      <c r="AA89" s="16" t="s">
        <v>905</v>
      </c>
      <c r="AB89" s="23" t="s">
        <v>199</v>
      </c>
      <c r="AC89" s="23" t="s">
        <v>199</v>
      </c>
      <c r="AD89" s="23" t="s">
        <v>199</v>
      </c>
      <c r="AE89" s="23" t="s">
        <v>199</v>
      </c>
      <c r="AF89" s="23" t="s">
        <v>199</v>
      </c>
      <c r="AG89" s="23" t="s">
        <v>199</v>
      </c>
      <c r="AH89" s="23">
        <v>0.0</v>
      </c>
      <c r="AI89" s="23" t="s">
        <v>199</v>
      </c>
      <c r="AJ89" s="23">
        <v>0.0</v>
      </c>
      <c r="AK89" s="24"/>
      <c r="AL89" s="25"/>
      <c r="AM89" s="25"/>
      <c r="AN89" s="25"/>
      <c r="AO89" s="25"/>
      <c r="AP89" s="25"/>
    </row>
    <row r="90" ht="15.75" customHeight="1">
      <c r="A90" s="26" t="s">
        <v>167</v>
      </c>
      <c r="B90" s="26">
        <v>2016.0</v>
      </c>
      <c r="C90" s="26" t="s">
        <v>147</v>
      </c>
      <c r="D90" s="26">
        <v>20.0</v>
      </c>
      <c r="E90" s="26">
        <v>41.0</v>
      </c>
      <c r="F90" s="26" t="s">
        <v>199</v>
      </c>
      <c r="G90" s="26" t="s">
        <v>154</v>
      </c>
      <c r="H90" s="26"/>
      <c r="I90" s="26"/>
      <c r="J90" s="26"/>
      <c r="K90" s="26" t="s">
        <v>906</v>
      </c>
      <c r="L90" s="26" t="s">
        <v>907</v>
      </c>
      <c r="M90" s="27">
        <v>74.0</v>
      </c>
      <c r="N90" s="26" t="s">
        <v>908</v>
      </c>
      <c r="O90" s="26" t="s">
        <v>176</v>
      </c>
      <c r="P90" s="41">
        <v>0.55625</v>
      </c>
      <c r="Q90" s="26" t="s">
        <v>309</v>
      </c>
      <c r="R90" s="29" t="s">
        <v>194</v>
      </c>
      <c r="S90" s="26" t="s">
        <v>197</v>
      </c>
      <c r="T90" s="26" t="s">
        <v>221</v>
      </c>
      <c r="U90" s="30" t="s">
        <v>199</v>
      </c>
      <c r="V90" s="30" t="s">
        <v>199</v>
      </c>
      <c r="W90" s="30" t="s">
        <v>199</v>
      </c>
      <c r="X90" s="30" t="s">
        <v>199</v>
      </c>
      <c r="Y90" s="30">
        <v>0.0</v>
      </c>
      <c r="Z90" s="30">
        <v>0.0</v>
      </c>
      <c r="AA90" s="30" t="s">
        <v>199</v>
      </c>
      <c r="AB90" s="30" t="s">
        <v>199</v>
      </c>
      <c r="AC90" s="30" t="s">
        <v>199</v>
      </c>
      <c r="AD90" s="30" t="s">
        <v>199</v>
      </c>
      <c r="AE90" s="30" t="s">
        <v>199</v>
      </c>
      <c r="AF90" s="30" t="s">
        <v>199</v>
      </c>
      <c r="AG90" s="30" t="s">
        <v>199</v>
      </c>
      <c r="AH90" s="30">
        <v>0.0</v>
      </c>
      <c r="AI90" s="30" t="s">
        <v>199</v>
      </c>
      <c r="AJ90" s="30">
        <v>0.0</v>
      </c>
      <c r="AK90" s="32" t="s">
        <v>849</v>
      </c>
      <c r="AL90" s="25"/>
      <c r="AM90" s="25"/>
      <c r="AN90" s="25"/>
      <c r="AO90" s="25"/>
      <c r="AP90" s="25"/>
    </row>
    <row r="91" ht="15.75" customHeight="1">
      <c r="A91" s="16" t="s">
        <v>167</v>
      </c>
      <c r="B91" s="16">
        <v>2016.0</v>
      </c>
      <c r="C91" s="16" t="s">
        <v>147</v>
      </c>
      <c r="D91" s="16">
        <v>21.0</v>
      </c>
      <c r="E91" s="16">
        <v>42.0</v>
      </c>
      <c r="F91" s="16" t="s">
        <v>199</v>
      </c>
      <c r="G91" s="16" t="s">
        <v>154</v>
      </c>
      <c r="H91" s="16"/>
      <c r="I91" s="16"/>
      <c r="J91" s="16"/>
      <c r="K91" s="16" t="s">
        <v>909</v>
      </c>
      <c r="L91" s="16" t="s">
        <v>910</v>
      </c>
      <c r="M91" s="19">
        <v>86.0</v>
      </c>
      <c r="N91" s="16" t="s">
        <v>911</v>
      </c>
      <c r="O91" s="16" t="s">
        <v>176</v>
      </c>
      <c r="P91" s="40">
        <v>0.3770833333333334</v>
      </c>
      <c r="Q91" s="16" t="s">
        <v>912</v>
      </c>
      <c r="R91" s="22" t="s">
        <v>194</v>
      </c>
      <c r="S91" s="16" t="s">
        <v>197</v>
      </c>
      <c r="T91" s="16" t="s">
        <v>221</v>
      </c>
      <c r="U91" s="16">
        <v>98.0</v>
      </c>
      <c r="V91" s="16">
        <v>84.0</v>
      </c>
      <c r="W91" s="16">
        <v>75.0</v>
      </c>
      <c r="X91" s="23" t="s">
        <v>199</v>
      </c>
      <c r="Y91" s="23">
        <v>1.0</v>
      </c>
      <c r="Z91" s="23">
        <v>0.0</v>
      </c>
      <c r="AA91" s="23" t="s">
        <v>199</v>
      </c>
      <c r="AB91" s="23" t="s">
        <v>199</v>
      </c>
      <c r="AC91" s="23" t="s">
        <v>199</v>
      </c>
      <c r="AD91" s="23" t="s">
        <v>199</v>
      </c>
      <c r="AE91" s="23" t="s">
        <v>199</v>
      </c>
      <c r="AF91" s="23" t="s">
        <v>199</v>
      </c>
      <c r="AG91" s="23" t="s">
        <v>199</v>
      </c>
      <c r="AH91" s="23">
        <v>0.0</v>
      </c>
      <c r="AI91" s="23" t="s">
        <v>199</v>
      </c>
      <c r="AJ91" s="23">
        <v>0.0</v>
      </c>
      <c r="AK91" s="24" t="s">
        <v>913</v>
      </c>
      <c r="AL91" s="25"/>
      <c r="AM91" s="25"/>
      <c r="AN91" s="25"/>
      <c r="AO91" s="25"/>
      <c r="AP91" s="25"/>
    </row>
    <row r="92" ht="15.75" customHeight="1">
      <c r="A92" s="26" t="s">
        <v>167</v>
      </c>
      <c r="B92" s="26">
        <v>2016.0</v>
      </c>
      <c r="C92" s="26" t="s">
        <v>147</v>
      </c>
      <c r="D92" s="26">
        <v>21.0</v>
      </c>
      <c r="E92" s="26">
        <v>43.0</v>
      </c>
      <c r="F92" s="26" t="s">
        <v>199</v>
      </c>
      <c r="G92" s="26" t="s">
        <v>154</v>
      </c>
      <c r="H92" s="26"/>
      <c r="I92" s="26"/>
      <c r="J92" s="26"/>
      <c r="K92" s="26" t="s">
        <v>914</v>
      </c>
      <c r="L92" s="26" t="s">
        <v>915</v>
      </c>
      <c r="M92" s="27">
        <v>87.0</v>
      </c>
      <c r="N92" s="26" t="s">
        <v>916</v>
      </c>
      <c r="O92" s="26" t="s">
        <v>176</v>
      </c>
      <c r="P92" s="41">
        <v>0.5805555555555556</v>
      </c>
      <c r="Q92" s="26" t="s">
        <v>917</v>
      </c>
      <c r="R92" s="29" t="s">
        <v>666</v>
      </c>
      <c r="S92" s="26" t="s">
        <v>668</v>
      </c>
      <c r="T92" s="30" t="s">
        <v>176</v>
      </c>
      <c r="U92" s="30" t="s">
        <v>199</v>
      </c>
      <c r="V92" s="30" t="s">
        <v>199</v>
      </c>
      <c r="W92" s="30" t="s">
        <v>199</v>
      </c>
      <c r="X92" s="30" t="s">
        <v>199</v>
      </c>
      <c r="Y92" s="30">
        <v>0.0</v>
      </c>
      <c r="Z92" s="30">
        <v>0.0</v>
      </c>
      <c r="AA92" s="30" t="s">
        <v>199</v>
      </c>
      <c r="AB92" s="30" t="s">
        <v>199</v>
      </c>
      <c r="AC92" s="30" t="s">
        <v>199</v>
      </c>
      <c r="AD92" s="30" t="s">
        <v>199</v>
      </c>
      <c r="AE92" s="30" t="s">
        <v>199</v>
      </c>
      <c r="AF92" s="30" t="s">
        <v>199</v>
      </c>
      <c r="AG92" s="30" t="s">
        <v>199</v>
      </c>
      <c r="AH92" s="30">
        <v>0.0</v>
      </c>
      <c r="AI92" s="30" t="s">
        <v>199</v>
      </c>
      <c r="AJ92" s="30">
        <v>0.0</v>
      </c>
      <c r="AK92" s="32" t="s">
        <v>918</v>
      </c>
      <c r="AL92" s="25"/>
      <c r="AM92" s="25"/>
      <c r="AN92" s="25"/>
      <c r="AO92" s="25"/>
      <c r="AP92" s="25"/>
    </row>
    <row r="93" ht="15.75" customHeight="1">
      <c r="A93" s="16" t="s">
        <v>167</v>
      </c>
      <c r="B93" s="16">
        <v>2016.0</v>
      </c>
      <c r="C93" s="16" t="s">
        <v>147</v>
      </c>
      <c r="D93" s="16">
        <v>27.0</v>
      </c>
      <c r="E93" s="16">
        <v>44.0</v>
      </c>
      <c r="F93" s="16" t="s">
        <v>919</v>
      </c>
      <c r="G93" s="16" t="s">
        <v>154</v>
      </c>
      <c r="H93" s="16"/>
      <c r="I93" s="16"/>
      <c r="J93" s="16"/>
      <c r="K93" s="16" t="s">
        <v>920</v>
      </c>
      <c r="L93" s="16" t="s">
        <v>921</v>
      </c>
      <c r="M93" s="19">
        <v>57.6</v>
      </c>
      <c r="N93" s="16" t="s">
        <v>665</v>
      </c>
      <c r="O93" s="16" t="s">
        <v>176</v>
      </c>
      <c r="P93" s="40">
        <v>0.4909722222222222</v>
      </c>
      <c r="Q93" s="16" t="s">
        <v>922</v>
      </c>
      <c r="R93" s="22" t="s">
        <v>666</v>
      </c>
      <c r="S93" s="16" t="s">
        <v>668</v>
      </c>
      <c r="T93" s="16" t="s">
        <v>221</v>
      </c>
      <c r="U93" s="16">
        <v>285.0</v>
      </c>
      <c r="V93" s="16">
        <v>270.0</v>
      </c>
      <c r="W93" s="16">
        <v>242.0</v>
      </c>
      <c r="X93" s="23" t="s">
        <v>199</v>
      </c>
      <c r="Y93" s="23">
        <v>1.0</v>
      </c>
      <c r="Z93" s="23">
        <v>0.0</v>
      </c>
      <c r="AA93" s="16" t="s">
        <v>923</v>
      </c>
      <c r="AB93" s="43">
        <v>54.0</v>
      </c>
      <c r="AC93" s="23" t="s">
        <v>199</v>
      </c>
      <c r="AD93" s="23" t="s">
        <v>199</v>
      </c>
      <c r="AE93" s="23" t="s">
        <v>199</v>
      </c>
      <c r="AF93" s="23" t="s">
        <v>199</v>
      </c>
      <c r="AG93" s="23" t="s">
        <v>199</v>
      </c>
      <c r="AH93" s="23">
        <v>0.0</v>
      </c>
      <c r="AI93" s="23" t="s">
        <v>199</v>
      </c>
      <c r="AJ93" s="23">
        <v>0.0</v>
      </c>
      <c r="AK93" s="24" t="s">
        <v>924</v>
      </c>
      <c r="AL93" s="25"/>
      <c r="AM93" s="25"/>
      <c r="AN93" s="25"/>
      <c r="AO93" s="25"/>
      <c r="AP93" s="25"/>
    </row>
    <row r="94" ht="15.75" customHeight="1">
      <c r="A94" s="26" t="s">
        <v>167</v>
      </c>
      <c r="B94" s="26">
        <v>2018.0</v>
      </c>
      <c r="C94" s="26" t="s">
        <v>925</v>
      </c>
      <c r="D94" s="26">
        <v>8.0</v>
      </c>
      <c r="E94" s="26" t="s">
        <v>176</v>
      </c>
      <c r="F94" s="26" t="s">
        <v>199</v>
      </c>
      <c r="G94" s="26" t="s">
        <v>176</v>
      </c>
      <c r="H94" s="26"/>
      <c r="I94" s="26"/>
      <c r="J94" s="46" t="s">
        <v>926</v>
      </c>
      <c r="K94" s="47" t="s">
        <v>927</v>
      </c>
      <c r="L94" s="47" t="s">
        <v>928</v>
      </c>
      <c r="M94" s="27">
        <v>22.0</v>
      </c>
      <c r="N94" s="26" t="s">
        <v>19</v>
      </c>
      <c r="O94" s="26" t="s">
        <v>176</v>
      </c>
      <c r="P94" s="28">
        <v>0.47291666666666665</v>
      </c>
      <c r="Q94" s="26" t="s">
        <v>176</v>
      </c>
      <c r="R94" s="29" t="s">
        <v>194</v>
      </c>
      <c r="S94" s="26" t="s">
        <v>197</v>
      </c>
      <c r="T94" s="26" t="s">
        <v>221</v>
      </c>
      <c r="U94" s="26">
        <v>97.8</v>
      </c>
      <c r="V94" s="30" t="s">
        <v>199</v>
      </c>
      <c r="W94" s="30" t="s">
        <v>199</v>
      </c>
      <c r="X94" s="30" t="s">
        <v>199</v>
      </c>
      <c r="Y94" s="30">
        <v>1.0</v>
      </c>
      <c r="Z94" s="26">
        <v>0.0</v>
      </c>
      <c r="AA94" s="30" t="s">
        <v>199</v>
      </c>
      <c r="AB94" s="46" t="s">
        <v>929</v>
      </c>
      <c r="AC94" s="30" t="s">
        <v>199</v>
      </c>
      <c r="AD94" s="30" t="s">
        <v>199</v>
      </c>
      <c r="AE94" s="30" t="s">
        <v>199</v>
      </c>
      <c r="AF94" s="30" t="s">
        <v>199</v>
      </c>
      <c r="AG94" s="30" t="s">
        <v>199</v>
      </c>
      <c r="AH94" s="30">
        <v>0.0</v>
      </c>
      <c r="AI94" s="26" t="s">
        <v>930</v>
      </c>
      <c r="AJ94" s="30">
        <v>0.0</v>
      </c>
      <c r="AK94" s="32" t="s">
        <v>931</v>
      </c>
      <c r="AL94" s="25"/>
      <c r="AM94" s="25"/>
      <c r="AN94" s="25"/>
      <c r="AO94" s="25"/>
      <c r="AP94" s="25"/>
    </row>
    <row r="95" ht="15.75" customHeight="1">
      <c r="A95" s="16" t="s">
        <v>167</v>
      </c>
      <c r="B95" s="16">
        <v>2018.0</v>
      </c>
      <c r="C95" s="16" t="s">
        <v>925</v>
      </c>
      <c r="D95" s="16">
        <v>9.0</v>
      </c>
      <c r="E95" s="16" t="s">
        <v>176</v>
      </c>
      <c r="F95" s="16" t="s">
        <v>199</v>
      </c>
      <c r="G95" s="16" t="s">
        <v>176</v>
      </c>
      <c r="H95" s="16"/>
      <c r="I95" s="16"/>
      <c r="J95" s="48"/>
      <c r="K95" s="49" t="s">
        <v>932</v>
      </c>
      <c r="L95" s="49" t="s">
        <v>933</v>
      </c>
      <c r="M95" s="16">
        <v>160.0</v>
      </c>
      <c r="N95" s="16" t="s">
        <v>19</v>
      </c>
      <c r="O95" s="16" t="s">
        <v>176</v>
      </c>
      <c r="P95" s="21">
        <v>0.40972222222222227</v>
      </c>
      <c r="Q95" s="16" t="s">
        <v>176</v>
      </c>
      <c r="R95" s="16" t="s">
        <v>628</v>
      </c>
      <c r="S95" s="16" t="s">
        <v>629</v>
      </c>
      <c r="T95" s="16" t="s">
        <v>221</v>
      </c>
      <c r="U95" s="19">
        <v>112.0</v>
      </c>
      <c r="V95" s="23" t="s">
        <v>199</v>
      </c>
      <c r="W95" s="23" t="s">
        <v>199</v>
      </c>
      <c r="X95" s="23" t="s">
        <v>199</v>
      </c>
      <c r="Y95" s="23">
        <v>1.0</v>
      </c>
      <c r="Z95" s="16">
        <v>0.0</v>
      </c>
      <c r="AA95" s="23" t="s">
        <v>199</v>
      </c>
      <c r="AB95" s="23" t="s">
        <v>199</v>
      </c>
      <c r="AC95" s="16" t="s">
        <v>934</v>
      </c>
      <c r="AD95" s="23" t="s">
        <v>199</v>
      </c>
      <c r="AE95" s="23" t="s">
        <v>199</v>
      </c>
      <c r="AF95" s="23" t="s">
        <v>199</v>
      </c>
      <c r="AG95" s="23" t="s">
        <v>199</v>
      </c>
      <c r="AH95" s="23">
        <v>0.0</v>
      </c>
      <c r="AI95" s="16" t="s">
        <v>935</v>
      </c>
      <c r="AJ95" s="23">
        <v>0.0</v>
      </c>
      <c r="AK95" s="24" t="s">
        <v>936</v>
      </c>
      <c r="AL95" s="25"/>
      <c r="AM95" s="25"/>
      <c r="AN95" s="25"/>
      <c r="AO95" s="25"/>
      <c r="AP95" s="25"/>
    </row>
    <row r="96" ht="15.75" customHeight="1">
      <c r="A96" s="26" t="s">
        <v>167</v>
      </c>
      <c r="B96" s="26">
        <v>2018.0</v>
      </c>
      <c r="C96" s="26" t="s">
        <v>925</v>
      </c>
      <c r="D96" s="26">
        <v>9.0</v>
      </c>
      <c r="E96" s="26" t="s">
        <v>176</v>
      </c>
      <c r="F96" s="26" t="s">
        <v>199</v>
      </c>
      <c r="G96" s="26" t="s">
        <v>176</v>
      </c>
      <c r="H96" s="26"/>
      <c r="I96" s="26"/>
      <c r="J96" s="46"/>
      <c r="K96" s="47" t="s">
        <v>938</v>
      </c>
      <c r="L96" s="47" t="s">
        <v>939</v>
      </c>
      <c r="M96" s="26">
        <v>18.8</v>
      </c>
      <c r="N96" s="26" t="s">
        <v>19</v>
      </c>
      <c r="O96" s="26" t="s">
        <v>176</v>
      </c>
      <c r="P96" s="28">
        <v>0.5652777777777778</v>
      </c>
      <c r="Q96" s="26" t="s">
        <v>176</v>
      </c>
      <c r="R96" s="29" t="s">
        <v>194</v>
      </c>
      <c r="S96" s="26" t="s">
        <v>197</v>
      </c>
      <c r="T96" s="26" t="s">
        <v>198</v>
      </c>
      <c r="U96" s="27">
        <v>104.0</v>
      </c>
      <c r="V96" s="30" t="s">
        <v>199</v>
      </c>
      <c r="W96" s="30" t="s">
        <v>199</v>
      </c>
      <c r="X96" s="30" t="s">
        <v>199</v>
      </c>
      <c r="Y96" s="30">
        <v>1.0</v>
      </c>
      <c r="Z96" s="26">
        <v>0.0</v>
      </c>
      <c r="AA96" s="30" t="s">
        <v>199</v>
      </c>
      <c r="AB96" s="46" t="s">
        <v>941</v>
      </c>
      <c r="AC96" s="30" t="s">
        <v>199</v>
      </c>
      <c r="AD96" s="30" t="s">
        <v>199</v>
      </c>
      <c r="AE96" s="30" t="s">
        <v>199</v>
      </c>
      <c r="AF96" s="30" t="s">
        <v>199</v>
      </c>
      <c r="AG96" s="30" t="s">
        <v>199</v>
      </c>
      <c r="AH96" s="30">
        <v>0.0</v>
      </c>
      <c r="AI96" s="26" t="s">
        <v>943</v>
      </c>
      <c r="AJ96" s="30">
        <v>0.0</v>
      </c>
      <c r="AK96" s="32" t="s">
        <v>931</v>
      </c>
      <c r="AL96" s="25"/>
      <c r="AM96" s="25"/>
      <c r="AN96" s="25"/>
      <c r="AO96" s="25"/>
      <c r="AP96" s="25"/>
    </row>
    <row r="97" ht="15.75" customHeight="1">
      <c r="A97" s="16" t="s">
        <v>167</v>
      </c>
      <c r="B97" s="16">
        <v>2018.0</v>
      </c>
      <c r="C97" s="16" t="s">
        <v>925</v>
      </c>
      <c r="D97" s="16">
        <v>10.0</v>
      </c>
      <c r="E97" s="16" t="s">
        <v>176</v>
      </c>
      <c r="F97" s="16" t="s">
        <v>199</v>
      </c>
      <c r="G97" s="16" t="s">
        <v>176</v>
      </c>
      <c r="H97" s="16"/>
      <c r="I97" s="16"/>
      <c r="J97" s="48"/>
      <c r="K97" s="49" t="s">
        <v>947</v>
      </c>
      <c r="L97" s="49" t="s">
        <v>948</v>
      </c>
      <c r="M97" s="16">
        <v>35.9</v>
      </c>
      <c r="N97" s="16" t="s">
        <v>19</v>
      </c>
      <c r="O97" s="16" t="s">
        <v>176</v>
      </c>
      <c r="P97" s="21">
        <v>0.513888888888889</v>
      </c>
      <c r="Q97" s="16" t="s">
        <v>176</v>
      </c>
      <c r="R97" s="22" t="s">
        <v>194</v>
      </c>
      <c r="S97" s="16" t="s">
        <v>197</v>
      </c>
      <c r="T97" s="16" t="s">
        <v>221</v>
      </c>
      <c r="U97" s="16">
        <v>113.5</v>
      </c>
      <c r="V97" s="23" t="s">
        <v>199</v>
      </c>
      <c r="W97" s="23" t="s">
        <v>199</v>
      </c>
      <c r="X97" s="23" t="s">
        <v>199</v>
      </c>
      <c r="Y97" s="23">
        <v>1.0</v>
      </c>
      <c r="Z97" s="16">
        <v>0.0</v>
      </c>
      <c r="AA97" s="23" t="s">
        <v>199</v>
      </c>
      <c r="AB97" s="48" t="s">
        <v>951</v>
      </c>
      <c r="AC97" s="23" t="s">
        <v>199</v>
      </c>
      <c r="AD97" s="23" t="s">
        <v>199</v>
      </c>
      <c r="AE97" s="23" t="s">
        <v>199</v>
      </c>
      <c r="AF97" s="23" t="s">
        <v>199</v>
      </c>
      <c r="AG97" s="23" t="s">
        <v>199</v>
      </c>
      <c r="AH97" s="23">
        <v>0.0</v>
      </c>
      <c r="AI97" s="16" t="s">
        <v>952</v>
      </c>
      <c r="AJ97" s="23">
        <v>0.0</v>
      </c>
      <c r="AK97" s="24" t="s">
        <v>953</v>
      </c>
      <c r="AL97" s="25"/>
      <c r="AM97" s="25"/>
      <c r="AN97" s="25"/>
      <c r="AO97" s="25"/>
      <c r="AP97" s="25"/>
    </row>
    <row r="98" ht="15.75" customHeight="1">
      <c r="A98" s="26" t="s">
        <v>167</v>
      </c>
      <c r="B98" s="26">
        <v>2018.0</v>
      </c>
      <c r="C98" s="26" t="s">
        <v>925</v>
      </c>
      <c r="D98" s="26">
        <v>14.0</v>
      </c>
      <c r="E98" s="26" t="s">
        <v>176</v>
      </c>
      <c r="F98" s="26" t="s">
        <v>199</v>
      </c>
      <c r="G98" s="26" t="s">
        <v>176</v>
      </c>
      <c r="H98" s="26"/>
      <c r="I98" s="26"/>
      <c r="J98" s="46" t="s">
        <v>955</v>
      </c>
      <c r="K98" s="47" t="s">
        <v>956</v>
      </c>
      <c r="L98" s="47" t="s">
        <v>958</v>
      </c>
      <c r="M98" s="27">
        <v>29.0</v>
      </c>
      <c r="N98" s="26" t="s">
        <v>19</v>
      </c>
      <c r="O98" s="26" t="s">
        <v>68</v>
      </c>
      <c r="P98" s="28">
        <v>0.32083333333333336</v>
      </c>
      <c r="Q98" s="26" t="s">
        <v>176</v>
      </c>
      <c r="R98" s="29" t="s">
        <v>194</v>
      </c>
      <c r="S98" s="26" t="s">
        <v>197</v>
      </c>
      <c r="T98" s="26" t="s">
        <v>198</v>
      </c>
      <c r="U98" s="26">
        <v>85.0</v>
      </c>
      <c r="V98" s="30" t="s">
        <v>199</v>
      </c>
      <c r="W98" s="30" t="s">
        <v>199</v>
      </c>
      <c r="X98" s="30" t="s">
        <v>199</v>
      </c>
      <c r="Y98" s="30">
        <v>1.0</v>
      </c>
      <c r="Z98" s="26">
        <v>1.0</v>
      </c>
      <c r="AA98" s="30" t="s">
        <v>199</v>
      </c>
      <c r="AB98" s="46" t="s">
        <v>962</v>
      </c>
      <c r="AC98" s="30" t="s">
        <v>199</v>
      </c>
      <c r="AD98" s="30" t="s">
        <v>199</v>
      </c>
      <c r="AE98" s="30" t="s">
        <v>199</v>
      </c>
      <c r="AF98" s="30" t="s">
        <v>199</v>
      </c>
      <c r="AG98" s="30" t="s">
        <v>199</v>
      </c>
      <c r="AH98" s="30">
        <v>0.0</v>
      </c>
      <c r="AI98" s="26" t="s">
        <v>963</v>
      </c>
      <c r="AJ98" s="30">
        <v>0.0</v>
      </c>
      <c r="AK98" s="32" t="s">
        <v>964</v>
      </c>
      <c r="AL98" s="25"/>
      <c r="AM98" s="25"/>
      <c r="AN98" s="25"/>
      <c r="AO98" s="25"/>
      <c r="AP98" s="25"/>
    </row>
    <row r="99" ht="15.75" customHeight="1">
      <c r="A99" s="16" t="s">
        <v>167</v>
      </c>
      <c r="B99" s="16">
        <v>2018.0</v>
      </c>
      <c r="C99" s="16" t="s">
        <v>925</v>
      </c>
      <c r="D99" s="16">
        <v>14.0</v>
      </c>
      <c r="E99" s="16" t="s">
        <v>176</v>
      </c>
      <c r="F99" s="16" t="s">
        <v>199</v>
      </c>
      <c r="G99" s="16" t="s">
        <v>176</v>
      </c>
      <c r="H99" s="16"/>
      <c r="I99" s="16"/>
      <c r="J99" s="48" t="s">
        <v>968</v>
      </c>
      <c r="K99" s="49" t="s">
        <v>176</v>
      </c>
      <c r="L99" s="49" t="s">
        <v>176</v>
      </c>
      <c r="M99" s="19">
        <v>65.3</v>
      </c>
      <c r="N99" s="16" t="s">
        <v>19</v>
      </c>
      <c r="O99" s="16" t="s">
        <v>68</v>
      </c>
      <c r="P99" s="21">
        <v>0.4770833333333333</v>
      </c>
      <c r="Q99" s="16" t="s">
        <v>176</v>
      </c>
      <c r="R99" s="22" t="s">
        <v>194</v>
      </c>
      <c r="S99" s="16" t="s">
        <v>197</v>
      </c>
      <c r="T99" s="16" t="s">
        <v>221</v>
      </c>
      <c r="U99" s="16">
        <v>104.0</v>
      </c>
      <c r="V99" s="23" t="s">
        <v>199</v>
      </c>
      <c r="W99" s="23" t="s">
        <v>199</v>
      </c>
      <c r="X99" s="23" t="s">
        <v>199</v>
      </c>
      <c r="Y99" s="23">
        <v>1.0</v>
      </c>
      <c r="Z99" s="16">
        <v>1.0</v>
      </c>
      <c r="AA99" s="23" t="s">
        <v>199</v>
      </c>
      <c r="AB99" s="48" t="s">
        <v>970</v>
      </c>
      <c r="AC99" s="23" t="s">
        <v>199</v>
      </c>
      <c r="AD99" s="23" t="s">
        <v>199</v>
      </c>
      <c r="AE99" s="23" t="s">
        <v>199</v>
      </c>
      <c r="AF99" s="23" t="s">
        <v>199</v>
      </c>
      <c r="AG99" s="23" t="s">
        <v>199</v>
      </c>
      <c r="AH99" s="23">
        <v>0.0</v>
      </c>
      <c r="AI99" s="16" t="s">
        <v>971</v>
      </c>
      <c r="AJ99" s="23">
        <v>0.0</v>
      </c>
      <c r="AK99" s="24" t="s">
        <v>972</v>
      </c>
      <c r="AL99" s="25"/>
      <c r="AM99" s="25"/>
      <c r="AN99" s="25"/>
      <c r="AO99" s="25"/>
      <c r="AP99" s="25"/>
    </row>
    <row r="100" ht="15.75" customHeight="1">
      <c r="A100" s="26" t="s">
        <v>167</v>
      </c>
      <c r="B100" s="26">
        <v>2018.0</v>
      </c>
      <c r="C100" s="26" t="s">
        <v>925</v>
      </c>
      <c r="D100" s="26">
        <v>15.0</v>
      </c>
      <c r="E100" s="26" t="s">
        <v>176</v>
      </c>
      <c r="F100" s="26" t="s">
        <v>199</v>
      </c>
      <c r="G100" s="26" t="s">
        <v>176</v>
      </c>
      <c r="H100" s="26"/>
      <c r="I100" s="26"/>
      <c r="J100" s="46"/>
      <c r="K100" s="47" t="s">
        <v>974</v>
      </c>
      <c r="L100" s="47" t="s">
        <v>975</v>
      </c>
      <c r="M100" s="27">
        <v>91.0</v>
      </c>
      <c r="N100" s="26" t="s">
        <v>19</v>
      </c>
      <c r="O100" s="26" t="s">
        <v>68</v>
      </c>
      <c r="P100" s="28">
        <v>0.3680555555555556</v>
      </c>
      <c r="Q100" s="26" t="s">
        <v>176</v>
      </c>
      <c r="R100" s="26" t="s">
        <v>628</v>
      </c>
      <c r="S100" s="26" t="s">
        <v>629</v>
      </c>
      <c r="T100" s="26" t="s">
        <v>198</v>
      </c>
      <c r="U100" s="26">
        <v>117.5</v>
      </c>
      <c r="V100" s="30" t="s">
        <v>199</v>
      </c>
      <c r="W100" s="30" t="s">
        <v>199</v>
      </c>
      <c r="X100" s="30" t="s">
        <v>199</v>
      </c>
      <c r="Y100" s="30">
        <v>1.0</v>
      </c>
      <c r="Z100" s="26">
        <v>1.0</v>
      </c>
      <c r="AA100" s="30" t="s">
        <v>199</v>
      </c>
      <c r="AB100" s="30" t="s">
        <v>199</v>
      </c>
      <c r="AC100" s="26" t="s">
        <v>976</v>
      </c>
      <c r="AD100" s="30" t="s">
        <v>199</v>
      </c>
      <c r="AE100" s="30" t="s">
        <v>199</v>
      </c>
      <c r="AF100" s="30" t="s">
        <v>199</v>
      </c>
      <c r="AG100" s="30" t="s">
        <v>199</v>
      </c>
      <c r="AH100" s="30">
        <v>0.0</v>
      </c>
      <c r="AI100" s="26" t="s">
        <v>977</v>
      </c>
      <c r="AJ100" s="30">
        <v>0.0</v>
      </c>
      <c r="AK100" s="32" t="s">
        <v>978</v>
      </c>
      <c r="AL100" s="25"/>
      <c r="AM100" s="25"/>
      <c r="AN100" s="25"/>
      <c r="AO100" s="25"/>
      <c r="AP100" s="25"/>
    </row>
    <row r="101" ht="15.75" customHeight="1">
      <c r="A101" s="16" t="s">
        <v>167</v>
      </c>
      <c r="B101" s="16">
        <v>2018.0</v>
      </c>
      <c r="C101" s="16" t="s">
        <v>925</v>
      </c>
      <c r="D101" s="16">
        <v>15.0</v>
      </c>
      <c r="E101" s="16" t="s">
        <v>176</v>
      </c>
      <c r="F101" s="16" t="s">
        <v>199</v>
      </c>
      <c r="G101" s="16" t="s">
        <v>176</v>
      </c>
      <c r="H101" s="16"/>
      <c r="I101" s="16"/>
      <c r="J101" s="48"/>
      <c r="K101" s="49" t="s">
        <v>974</v>
      </c>
      <c r="L101" s="49" t="s">
        <v>975</v>
      </c>
      <c r="M101" s="19">
        <v>88.1</v>
      </c>
      <c r="N101" s="16" t="s">
        <v>19</v>
      </c>
      <c r="O101" s="16" t="s">
        <v>68</v>
      </c>
      <c r="P101" s="21">
        <v>0.48055555555555557</v>
      </c>
      <c r="Q101" s="16" t="s">
        <v>176</v>
      </c>
      <c r="R101" s="16" t="s">
        <v>628</v>
      </c>
      <c r="S101" s="16" t="s">
        <v>629</v>
      </c>
      <c r="T101" s="16" t="s">
        <v>221</v>
      </c>
      <c r="U101" s="16">
        <v>103.0</v>
      </c>
      <c r="V101" s="23" t="s">
        <v>199</v>
      </c>
      <c r="W101" s="23" t="s">
        <v>199</v>
      </c>
      <c r="X101" s="23" t="s">
        <v>199</v>
      </c>
      <c r="Y101" s="23">
        <v>1.0</v>
      </c>
      <c r="Z101" s="16">
        <v>1.0</v>
      </c>
      <c r="AA101" s="23" t="s">
        <v>199</v>
      </c>
      <c r="AB101" s="23" t="s">
        <v>199</v>
      </c>
      <c r="AC101" s="16" t="s">
        <v>979</v>
      </c>
      <c r="AD101" s="23" t="s">
        <v>199</v>
      </c>
      <c r="AE101" s="23" t="s">
        <v>199</v>
      </c>
      <c r="AF101" s="23" t="s">
        <v>199</v>
      </c>
      <c r="AG101" s="23" t="s">
        <v>199</v>
      </c>
      <c r="AH101" s="23">
        <v>0.0</v>
      </c>
      <c r="AI101" s="16" t="s">
        <v>980</v>
      </c>
      <c r="AJ101" s="23">
        <v>0.0</v>
      </c>
      <c r="AK101" s="24" t="s">
        <v>981</v>
      </c>
      <c r="AL101" s="25"/>
      <c r="AM101" s="25"/>
      <c r="AN101" s="25"/>
      <c r="AO101" s="25"/>
      <c r="AP101" s="25"/>
    </row>
    <row r="102" ht="15.75" customHeight="1">
      <c r="A102" s="26" t="s">
        <v>167</v>
      </c>
      <c r="B102" s="26">
        <v>2018.0</v>
      </c>
      <c r="C102" s="26" t="s">
        <v>925</v>
      </c>
      <c r="D102" s="26">
        <v>15.0</v>
      </c>
      <c r="E102" s="26" t="s">
        <v>176</v>
      </c>
      <c r="F102" s="26" t="s">
        <v>199</v>
      </c>
      <c r="G102" s="26" t="s">
        <v>176</v>
      </c>
      <c r="H102" s="26"/>
      <c r="I102" s="26"/>
      <c r="J102" s="46"/>
      <c r="K102" s="47" t="s">
        <v>974</v>
      </c>
      <c r="L102" s="47" t="s">
        <v>975</v>
      </c>
      <c r="M102" s="27">
        <v>88.1</v>
      </c>
      <c r="N102" s="26" t="s">
        <v>19</v>
      </c>
      <c r="O102" s="26" t="s">
        <v>68</v>
      </c>
      <c r="P102" s="28">
        <v>0.5027777777777778</v>
      </c>
      <c r="Q102" s="26" t="s">
        <v>176</v>
      </c>
      <c r="R102" s="26" t="s">
        <v>628</v>
      </c>
      <c r="S102" s="26" t="s">
        <v>629</v>
      </c>
      <c r="T102" s="26" t="s">
        <v>198</v>
      </c>
      <c r="U102" s="26">
        <v>123.0</v>
      </c>
      <c r="V102" s="30" t="s">
        <v>199</v>
      </c>
      <c r="W102" s="30" t="s">
        <v>199</v>
      </c>
      <c r="X102" s="30" t="s">
        <v>199</v>
      </c>
      <c r="Y102" s="30">
        <v>1.0</v>
      </c>
      <c r="Z102" s="26">
        <v>1.0</v>
      </c>
      <c r="AA102" s="30" t="s">
        <v>199</v>
      </c>
      <c r="AB102" s="30" t="s">
        <v>199</v>
      </c>
      <c r="AC102" s="26" t="s">
        <v>982</v>
      </c>
      <c r="AD102" s="30" t="s">
        <v>199</v>
      </c>
      <c r="AE102" s="30" t="s">
        <v>199</v>
      </c>
      <c r="AF102" s="30" t="s">
        <v>199</v>
      </c>
      <c r="AG102" s="30" t="s">
        <v>199</v>
      </c>
      <c r="AH102" s="30">
        <v>0.0</v>
      </c>
      <c r="AI102" s="26" t="s">
        <v>983</v>
      </c>
      <c r="AJ102" s="30">
        <v>0.0</v>
      </c>
      <c r="AK102" s="32" t="s">
        <v>984</v>
      </c>
      <c r="AL102" s="25"/>
      <c r="AM102" s="25"/>
      <c r="AN102" s="25"/>
      <c r="AO102" s="25"/>
      <c r="AP102" s="25"/>
    </row>
    <row r="103" ht="15.75" customHeight="1">
      <c r="A103" s="16" t="s">
        <v>167</v>
      </c>
      <c r="B103" s="16">
        <v>2018.0</v>
      </c>
      <c r="C103" s="16" t="s">
        <v>147</v>
      </c>
      <c r="D103" s="16">
        <v>16.0</v>
      </c>
      <c r="E103" s="16" t="s">
        <v>176</v>
      </c>
      <c r="F103" s="16" t="s">
        <v>199</v>
      </c>
      <c r="G103" s="16" t="s">
        <v>176</v>
      </c>
      <c r="H103" s="16"/>
      <c r="I103" s="16"/>
      <c r="J103" s="48"/>
      <c r="K103" s="49" t="s">
        <v>985</v>
      </c>
      <c r="L103" s="49" t="s">
        <v>986</v>
      </c>
      <c r="M103" s="19">
        <v>42.2</v>
      </c>
      <c r="N103" s="16" t="s">
        <v>19</v>
      </c>
      <c r="O103" s="16" t="s">
        <v>68</v>
      </c>
      <c r="P103" s="21">
        <v>0.46875</v>
      </c>
      <c r="Q103" s="16" t="s">
        <v>176</v>
      </c>
      <c r="R103" s="16" t="s">
        <v>628</v>
      </c>
      <c r="S103" s="16" t="s">
        <v>629</v>
      </c>
      <c r="T103" s="16" t="s">
        <v>198</v>
      </c>
      <c r="U103" s="16">
        <v>128.0</v>
      </c>
      <c r="V103" s="23" t="s">
        <v>199</v>
      </c>
      <c r="W103" s="23" t="s">
        <v>199</v>
      </c>
      <c r="X103" s="23" t="s">
        <v>199</v>
      </c>
      <c r="Y103" s="23">
        <v>1.0</v>
      </c>
      <c r="Z103" s="16">
        <v>0.0</v>
      </c>
      <c r="AA103" s="23" t="s">
        <v>199</v>
      </c>
      <c r="AB103" s="23" t="s">
        <v>199</v>
      </c>
      <c r="AC103" s="16" t="s">
        <v>987</v>
      </c>
      <c r="AD103" s="23" t="s">
        <v>199</v>
      </c>
      <c r="AE103" s="23" t="s">
        <v>199</v>
      </c>
      <c r="AF103" s="23" t="s">
        <v>199</v>
      </c>
      <c r="AG103" s="23" t="s">
        <v>199</v>
      </c>
      <c r="AH103" s="23">
        <v>0.0</v>
      </c>
      <c r="AI103" s="16" t="s">
        <v>988</v>
      </c>
      <c r="AJ103" s="23">
        <v>0.0</v>
      </c>
      <c r="AK103" s="24" t="s">
        <v>989</v>
      </c>
      <c r="AL103" s="25"/>
      <c r="AM103" s="25"/>
      <c r="AN103" s="25"/>
      <c r="AO103" s="25"/>
      <c r="AP103" s="25"/>
    </row>
    <row r="104" ht="15.75" customHeight="1">
      <c r="A104" s="26" t="s">
        <v>167</v>
      </c>
      <c r="B104" s="26">
        <v>2018.0</v>
      </c>
      <c r="C104" s="26" t="s">
        <v>147</v>
      </c>
      <c r="D104" s="26">
        <v>17.0</v>
      </c>
      <c r="E104" s="26" t="s">
        <v>176</v>
      </c>
      <c r="F104" s="26" t="s">
        <v>199</v>
      </c>
      <c r="G104" s="26" t="s">
        <v>176</v>
      </c>
      <c r="H104" s="26"/>
      <c r="I104" s="26"/>
      <c r="J104" s="46"/>
      <c r="K104" s="47" t="s">
        <v>990</v>
      </c>
      <c r="L104" s="47" t="s">
        <v>991</v>
      </c>
      <c r="M104" s="27">
        <v>36.2</v>
      </c>
      <c r="N104" s="26" t="s">
        <v>19</v>
      </c>
      <c r="O104" s="26" t="s">
        <v>176</v>
      </c>
      <c r="P104" s="28">
        <v>0.46597222222222223</v>
      </c>
      <c r="Q104" s="26" t="s">
        <v>176</v>
      </c>
      <c r="R104" s="26" t="s">
        <v>628</v>
      </c>
      <c r="S104" s="26" t="s">
        <v>629</v>
      </c>
      <c r="T104" s="26" t="s">
        <v>198</v>
      </c>
      <c r="U104" s="26">
        <v>107.0</v>
      </c>
      <c r="V104" s="30" t="s">
        <v>199</v>
      </c>
      <c r="W104" s="30" t="s">
        <v>199</v>
      </c>
      <c r="X104" s="30" t="s">
        <v>199</v>
      </c>
      <c r="Y104" s="30">
        <v>1.0</v>
      </c>
      <c r="Z104" s="26">
        <v>1.0</v>
      </c>
      <c r="AA104" s="30" t="s">
        <v>199</v>
      </c>
      <c r="AB104" s="30" t="s">
        <v>199</v>
      </c>
      <c r="AC104" s="26" t="s">
        <v>992</v>
      </c>
      <c r="AD104" s="30" t="s">
        <v>199</v>
      </c>
      <c r="AE104" s="30" t="s">
        <v>199</v>
      </c>
      <c r="AF104" s="30" t="s">
        <v>199</v>
      </c>
      <c r="AG104" s="30" t="s">
        <v>199</v>
      </c>
      <c r="AH104" s="30">
        <v>0.0</v>
      </c>
      <c r="AI104" s="26" t="s">
        <v>993</v>
      </c>
      <c r="AJ104" s="30">
        <v>0.0</v>
      </c>
      <c r="AK104" s="32" t="s">
        <v>994</v>
      </c>
      <c r="AL104" s="25"/>
      <c r="AM104" s="25"/>
      <c r="AN104" s="25"/>
      <c r="AO104" s="25"/>
      <c r="AP104" s="25"/>
    </row>
    <row r="105" ht="15.75" customHeight="1">
      <c r="A105" s="16" t="s">
        <v>167</v>
      </c>
      <c r="B105" s="16">
        <v>2018.0</v>
      </c>
      <c r="C105" s="16" t="s">
        <v>147</v>
      </c>
      <c r="D105" s="16">
        <v>17.0</v>
      </c>
      <c r="E105" s="16" t="s">
        <v>176</v>
      </c>
      <c r="F105" s="16" t="s">
        <v>199</v>
      </c>
      <c r="G105" s="16" t="s">
        <v>176</v>
      </c>
      <c r="H105" s="16"/>
      <c r="I105" s="16"/>
      <c r="J105" s="48"/>
      <c r="K105" s="49" t="s">
        <v>995</v>
      </c>
      <c r="L105" s="49" t="s">
        <v>996</v>
      </c>
      <c r="M105" s="19">
        <v>35.7</v>
      </c>
      <c r="N105" s="16" t="s">
        <v>19</v>
      </c>
      <c r="O105" s="16" t="s">
        <v>176</v>
      </c>
      <c r="P105" s="21">
        <v>0.4763888888888889</v>
      </c>
      <c r="Q105" s="16" t="s">
        <v>176</v>
      </c>
      <c r="R105" s="22" t="s">
        <v>194</v>
      </c>
      <c r="S105" s="16" t="s">
        <v>197</v>
      </c>
      <c r="T105" s="16" t="s">
        <v>221</v>
      </c>
      <c r="U105" s="16">
        <v>114.0</v>
      </c>
      <c r="V105" s="23" t="s">
        <v>199</v>
      </c>
      <c r="W105" s="23" t="s">
        <v>199</v>
      </c>
      <c r="X105" s="23" t="s">
        <v>199</v>
      </c>
      <c r="Y105" s="23">
        <v>1.0</v>
      </c>
      <c r="Z105" s="16">
        <v>0.0</v>
      </c>
      <c r="AA105" s="23" t="s">
        <v>199</v>
      </c>
      <c r="AB105" s="48" t="s">
        <v>997</v>
      </c>
      <c r="AC105" s="23" t="s">
        <v>199</v>
      </c>
      <c r="AD105" s="23" t="s">
        <v>199</v>
      </c>
      <c r="AE105" s="23" t="s">
        <v>199</v>
      </c>
      <c r="AF105" s="23" t="s">
        <v>199</v>
      </c>
      <c r="AG105" s="23" t="s">
        <v>199</v>
      </c>
      <c r="AH105" s="23">
        <v>0.0</v>
      </c>
      <c r="AI105" s="16" t="s">
        <v>998</v>
      </c>
      <c r="AJ105" s="23">
        <v>0.0</v>
      </c>
      <c r="AK105" s="24"/>
      <c r="AL105" s="25"/>
      <c r="AM105" s="25"/>
      <c r="AN105" s="25"/>
      <c r="AO105" s="25"/>
      <c r="AP105" s="25"/>
    </row>
    <row r="106" ht="15.75" customHeight="1">
      <c r="A106" s="26" t="s">
        <v>167</v>
      </c>
      <c r="B106" s="26">
        <v>2018.0</v>
      </c>
      <c r="C106" s="26" t="s">
        <v>147</v>
      </c>
      <c r="D106" s="26">
        <v>17.0</v>
      </c>
      <c r="E106" s="26" t="s">
        <v>176</v>
      </c>
      <c r="F106" s="26" t="s">
        <v>199</v>
      </c>
      <c r="G106" s="26" t="s">
        <v>176</v>
      </c>
      <c r="H106" s="26"/>
      <c r="I106" s="26"/>
      <c r="J106" s="46"/>
      <c r="K106" s="47" t="s">
        <v>999</v>
      </c>
      <c r="L106" s="47" t="s">
        <v>1000</v>
      </c>
      <c r="M106" s="27">
        <v>121.9</v>
      </c>
      <c r="N106" s="26" t="s">
        <v>19</v>
      </c>
      <c r="O106" s="26" t="s">
        <v>176</v>
      </c>
      <c r="P106" s="28">
        <v>0.5784722222222222</v>
      </c>
      <c r="Q106" s="26" t="s">
        <v>176</v>
      </c>
      <c r="R106" s="26" t="s">
        <v>628</v>
      </c>
      <c r="S106" s="26" t="s">
        <v>629</v>
      </c>
      <c r="T106" s="26" t="s">
        <v>221</v>
      </c>
      <c r="U106" s="26">
        <v>157.0</v>
      </c>
      <c r="V106" s="30" t="s">
        <v>199</v>
      </c>
      <c r="W106" s="30" t="s">
        <v>199</v>
      </c>
      <c r="X106" s="30" t="s">
        <v>199</v>
      </c>
      <c r="Y106" s="30">
        <v>1.0</v>
      </c>
      <c r="Z106" s="26">
        <v>1.0</v>
      </c>
      <c r="AA106" s="30" t="s">
        <v>199</v>
      </c>
      <c r="AB106" s="30" t="s">
        <v>199</v>
      </c>
      <c r="AC106" s="26" t="s">
        <v>1001</v>
      </c>
      <c r="AD106" s="30" t="s">
        <v>199</v>
      </c>
      <c r="AE106" s="30" t="s">
        <v>199</v>
      </c>
      <c r="AF106" s="30" t="s">
        <v>199</v>
      </c>
      <c r="AG106" s="30" t="s">
        <v>199</v>
      </c>
      <c r="AH106" s="30">
        <v>0.0</v>
      </c>
      <c r="AI106" s="26" t="s">
        <v>1002</v>
      </c>
      <c r="AJ106" s="30">
        <v>0.0</v>
      </c>
      <c r="AK106" s="32" t="s">
        <v>1003</v>
      </c>
      <c r="AL106" s="25"/>
      <c r="AM106" s="25"/>
      <c r="AN106" s="25"/>
      <c r="AO106" s="25"/>
      <c r="AP106" s="25"/>
    </row>
    <row r="107" ht="15.75" customHeight="1">
      <c r="A107" s="16" t="s">
        <v>167</v>
      </c>
      <c r="B107" s="16">
        <v>2018.0</v>
      </c>
      <c r="C107" s="16" t="s">
        <v>147</v>
      </c>
      <c r="D107" s="16">
        <v>24.0</v>
      </c>
      <c r="E107" s="16" t="s">
        <v>176</v>
      </c>
      <c r="F107" s="16" t="s">
        <v>199</v>
      </c>
      <c r="G107" s="16" t="s">
        <v>176</v>
      </c>
      <c r="H107" s="16"/>
      <c r="I107" s="16"/>
      <c r="J107" s="48" t="s">
        <v>1004</v>
      </c>
      <c r="K107" s="49" t="s">
        <v>1005</v>
      </c>
      <c r="L107" s="49" t="s">
        <v>1006</v>
      </c>
      <c r="M107" s="16" t="s">
        <v>176</v>
      </c>
      <c r="N107" s="16" t="s">
        <v>176</v>
      </c>
      <c r="O107" s="16" t="s">
        <v>176</v>
      </c>
      <c r="P107" s="21">
        <v>0.2951388888888889</v>
      </c>
      <c r="Q107" s="16" t="s">
        <v>176</v>
      </c>
      <c r="R107" s="16" t="s">
        <v>628</v>
      </c>
      <c r="S107" s="16" t="s">
        <v>629</v>
      </c>
      <c r="T107" s="16" t="s">
        <v>221</v>
      </c>
      <c r="U107" s="16">
        <v>120.0</v>
      </c>
      <c r="V107" s="23" t="s">
        <v>199</v>
      </c>
      <c r="W107" s="23" t="s">
        <v>199</v>
      </c>
      <c r="X107" s="23" t="s">
        <v>199</v>
      </c>
      <c r="Y107" s="23">
        <v>1.0</v>
      </c>
      <c r="Z107" s="16">
        <v>0.0</v>
      </c>
      <c r="AA107" s="23" t="s">
        <v>199</v>
      </c>
      <c r="AB107" s="23" t="s">
        <v>199</v>
      </c>
      <c r="AC107" s="16" t="s">
        <v>1007</v>
      </c>
      <c r="AD107" s="23" t="s">
        <v>199</v>
      </c>
      <c r="AE107" s="23" t="s">
        <v>199</v>
      </c>
      <c r="AF107" s="23" t="s">
        <v>199</v>
      </c>
      <c r="AG107" s="23" t="s">
        <v>199</v>
      </c>
      <c r="AH107" s="23">
        <v>0.0</v>
      </c>
      <c r="AI107" s="16" t="s">
        <v>1008</v>
      </c>
      <c r="AJ107" s="23">
        <v>0.0</v>
      </c>
      <c r="AK107" s="24" t="s">
        <v>1009</v>
      </c>
      <c r="AL107" s="25"/>
      <c r="AM107" s="25"/>
      <c r="AN107" s="25"/>
      <c r="AO107" s="25"/>
      <c r="AP107" s="25"/>
    </row>
    <row r="108" ht="15.75" customHeight="1">
      <c r="A108" s="26" t="s">
        <v>167</v>
      </c>
      <c r="B108" s="26">
        <v>2018.0</v>
      </c>
      <c r="C108" s="26" t="s">
        <v>147</v>
      </c>
      <c r="D108" s="26">
        <v>24.0</v>
      </c>
      <c r="E108" s="26" t="s">
        <v>176</v>
      </c>
      <c r="F108" s="26" t="s">
        <v>199</v>
      </c>
      <c r="G108" s="26" t="s">
        <v>176</v>
      </c>
      <c r="H108" s="26"/>
      <c r="I108" s="26"/>
      <c r="J108" s="46" t="s">
        <v>1010</v>
      </c>
      <c r="K108" s="47" t="s">
        <v>1011</v>
      </c>
      <c r="L108" s="47" t="s">
        <v>1012</v>
      </c>
      <c r="M108" s="26" t="s">
        <v>176</v>
      </c>
      <c r="N108" s="26" t="s">
        <v>176</v>
      </c>
      <c r="O108" s="26" t="s">
        <v>176</v>
      </c>
      <c r="P108" s="28">
        <v>0.30833333333333335</v>
      </c>
      <c r="Q108" s="26" t="s">
        <v>176</v>
      </c>
      <c r="R108" s="26" t="s">
        <v>628</v>
      </c>
      <c r="S108" s="26" t="s">
        <v>629</v>
      </c>
      <c r="T108" s="26" t="s">
        <v>198</v>
      </c>
      <c r="U108" s="26">
        <v>130.0</v>
      </c>
      <c r="V108" s="30" t="s">
        <v>199</v>
      </c>
      <c r="W108" s="30" t="s">
        <v>199</v>
      </c>
      <c r="X108" s="30" t="s">
        <v>199</v>
      </c>
      <c r="Y108" s="30">
        <v>1.0</v>
      </c>
      <c r="Z108" s="26">
        <v>1.0</v>
      </c>
      <c r="AA108" s="30" t="s">
        <v>199</v>
      </c>
      <c r="AB108" s="30" t="s">
        <v>199</v>
      </c>
      <c r="AC108" s="26" t="s">
        <v>1013</v>
      </c>
      <c r="AD108" s="30" t="s">
        <v>199</v>
      </c>
      <c r="AE108" s="30" t="s">
        <v>199</v>
      </c>
      <c r="AF108" s="30" t="s">
        <v>199</v>
      </c>
      <c r="AG108" s="30" t="s">
        <v>199</v>
      </c>
      <c r="AH108" s="30">
        <v>0.0</v>
      </c>
      <c r="AI108" s="26" t="s">
        <v>1014</v>
      </c>
      <c r="AJ108" s="30">
        <v>0.0</v>
      </c>
      <c r="AK108" s="32" t="s">
        <v>1015</v>
      </c>
      <c r="AL108" s="25"/>
      <c r="AM108" s="25"/>
      <c r="AN108" s="25"/>
      <c r="AO108" s="25"/>
      <c r="AP108" s="25"/>
    </row>
    <row r="109" ht="15.75" customHeight="1">
      <c r="A109" s="16" t="s">
        <v>167</v>
      </c>
      <c r="B109" s="16">
        <v>2018.0</v>
      </c>
      <c r="C109" s="16" t="s">
        <v>147</v>
      </c>
      <c r="D109" s="16">
        <v>24.0</v>
      </c>
      <c r="E109" s="16" t="s">
        <v>176</v>
      </c>
      <c r="F109" s="16" t="s">
        <v>199</v>
      </c>
      <c r="G109" s="16" t="s">
        <v>176</v>
      </c>
      <c r="H109" s="16"/>
      <c r="I109" s="16"/>
      <c r="J109" s="48"/>
      <c r="K109" s="49" t="s">
        <v>1016</v>
      </c>
      <c r="L109" s="49" t="s">
        <v>1017</v>
      </c>
      <c r="M109" s="16" t="s">
        <v>176</v>
      </c>
      <c r="N109" s="16" t="s">
        <v>176</v>
      </c>
      <c r="O109" s="16" t="s">
        <v>176</v>
      </c>
      <c r="P109" s="21">
        <v>0.5375</v>
      </c>
      <c r="Q109" s="16" t="s">
        <v>176</v>
      </c>
      <c r="R109" s="16" t="s">
        <v>628</v>
      </c>
      <c r="S109" s="16" t="s">
        <v>629</v>
      </c>
      <c r="T109" s="16" t="s">
        <v>221</v>
      </c>
      <c r="U109" s="16">
        <v>98.0</v>
      </c>
      <c r="V109" s="23" t="s">
        <v>199</v>
      </c>
      <c r="W109" s="23" t="s">
        <v>199</v>
      </c>
      <c r="X109" s="23" t="s">
        <v>199</v>
      </c>
      <c r="Y109" s="23">
        <v>1.0</v>
      </c>
      <c r="Z109" s="16">
        <v>0.0</v>
      </c>
      <c r="AA109" s="23" t="s">
        <v>199</v>
      </c>
      <c r="AB109" s="23" t="s">
        <v>199</v>
      </c>
      <c r="AC109" s="16" t="s">
        <v>1018</v>
      </c>
      <c r="AD109" s="23" t="s">
        <v>199</v>
      </c>
      <c r="AE109" s="23" t="s">
        <v>199</v>
      </c>
      <c r="AF109" s="23" t="s">
        <v>199</v>
      </c>
      <c r="AG109" s="23" t="s">
        <v>199</v>
      </c>
      <c r="AH109" s="23">
        <v>0.0</v>
      </c>
      <c r="AI109" s="16" t="s">
        <v>1019</v>
      </c>
      <c r="AJ109" s="23">
        <v>0.0</v>
      </c>
      <c r="AK109" s="24" t="s">
        <v>1020</v>
      </c>
      <c r="AL109" s="25"/>
      <c r="AM109" s="25"/>
      <c r="AN109" s="25"/>
      <c r="AO109" s="25"/>
      <c r="AP109" s="25"/>
    </row>
    <row r="110" ht="15.75" customHeight="1">
      <c r="A110" s="26" t="s">
        <v>167</v>
      </c>
      <c r="B110" s="26">
        <v>2018.0</v>
      </c>
      <c r="C110" s="26" t="s">
        <v>147</v>
      </c>
      <c r="D110" s="26">
        <v>29.0</v>
      </c>
      <c r="E110" s="26" t="s">
        <v>176</v>
      </c>
      <c r="F110" s="26" t="s">
        <v>199</v>
      </c>
      <c r="G110" s="26" t="s">
        <v>176</v>
      </c>
      <c r="H110" s="26"/>
      <c r="I110" s="26"/>
      <c r="J110" s="46"/>
      <c r="K110" s="47" t="s">
        <v>1021</v>
      </c>
      <c r="L110" s="47" t="s">
        <v>1022</v>
      </c>
      <c r="M110" s="26" t="s">
        <v>176</v>
      </c>
      <c r="N110" s="26" t="s">
        <v>176</v>
      </c>
      <c r="O110" s="26" t="s">
        <v>176</v>
      </c>
      <c r="P110" s="28">
        <v>0.40972222222222227</v>
      </c>
      <c r="Q110" s="26" t="s">
        <v>176</v>
      </c>
      <c r="R110" s="26" t="s">
        <v>628</v>
      </c>
      <c r="S110" s="26" t="s">
        <v>629</v>
      </c>
      <c r="T110" s="26" t="s">
        <v>198</v>
      </c>
      <c r="U110" s="26">
        <v>95.0</v>
      </c>
      <c r="V110" s="30" t="s">
        <v>199</v>
      </c>
      <c r="W110" s="30" t="s">
        <v>199</v>
      </c>
      <c r="X110" s="30" t="s">
        <v>199</v>
      </c>
      <c r="Y110" s="30">
        <v>0.0</v>
      </c>
      <c r="Z110" s="26">
        <v>1.0</v>
      </c>
      <c r="AA110" s="30" t="s">
        <v>199</v>
      </c>
      <c r="AB110" s="30" t="s">
        <v>199</v>
      </c>
      <c r="AC110" s="26" t="s">
        <v>1023</v>
      </c>
      <c r="AD110" s="30" t="s">
        <v>199</v>
      </c>
      <c r="AE110" s="30" t="s">
        <v>199</v>
      </c>
      <c r="AF110" s="30" t="s">
        <v>199</v>
      </c>
      <c r="AG110" s="30" t="s">
        <v>199</v>
      </c>
      <c r="AH110" s="30">
        <v>0.0</v>
      </c>
      <c r="AI110" s="30" t="s">
        <v>199</v>
      </c>
      <c r="AJ110" s="30">
        <v>0.0</v>
      </c>
      <c r="AK110" s="32" t="s">
        <v>1024</v>
      </c>
      <c r="AL110" s="25"/>
      <c r="AM110" s="25"/>
      <c r="AN110" s="25"/>
      <c r="AO110" s="25"/>
      <c r="AP110" s="25"/>
    </row>
    <row r="111" ht="15.75" customHeight="1">
      <c r="A111" s="16" t="s">
        <v>167</v>
      </c>
      <c r="B111" s="16">
        <v>2018.0</v>
      </c>
      <c r="C111" s="16" t="s">
        <v>147</v>
      </c>
      <c r="D111" s="16">
        <v>29.0</v>
      </c>
      <c r="E111" s="16" t="s">
        <v>176</v>
      </c>
      <c r="F111" s="16" t="s">
        <v>199</v>
      </c>
      <c r="G111" s="16" t="s">
        <v>176</v>
      </c>
      <c r="H111" s="16"/>
      <c r="I111" s="16"/>
      <c r="J111" s="48"/>
      <c r="K111" s="49" t="s">
        <v>1025</v>
      </c>
      <c r="L111" s="49" t="s">
        <v>1026</v>
      </c>
      <c r="M111" s="16" t="s">
        <v>176</v>
      </c>
      <c r="N111" s="16" t="s">
        <v>176</v>
      </c>
      <c r="O111" s="16" t="s">
        <v>176</v>
      </c>
      <c r="P111" s="21">
        <v>0.4791666666666667</v>
      </c>
      <c r="Q111" s="16" t="s">
        <v>1027</v>
      </c>
      <c r="R111" s="16" t="s">
        <v>628</v>
      </c>
      <c r="S111" s="16" t="s">
        <v>629</v>
      </c>
      <c r="T111" s="16" t="s">
        <v>221</v>
      </c>
      <c r="U111" s="16">
        <v>82.0</v>
      </c>
      <c r="V111" s="23" t="s">
        <v>199</v>
      </c>
      <c r="W111" s="23" t="s">
        <v>199</v>
      </c>
      <c r="X111" s="23" t="s">
        <v>199</v>
      </c>
      <c r="Y111" s="23">
        <v>0.0</v>
      </c>
      <c r="Z111" s="16">
        <v>1.0</v>
      </c>
      <c r="AA111" s="23" t="s">
        <v>199</v>
      </c>
      <c r="AB111" s="23" t="s">
        <v>199</v>
      </c>
      <c r="AC111" s="16" t="s">
        <v>1028</v>
      </c>
      <c r="AD111" s="23" t="s">
        <v>199</v>
      </c>
      <c r="AE111" s="23" t="s">
        <v>199</v>
      </c>
      <c r="AF111" s="23" t="s">
        <v>199</v>
      </c>
      <c r="AG111" s="23" t="s">
        <v>199</v>
      </c>
      <c r="AH111" s="23">
        <v>0.0</v>
      </c>
      <c r="AI111" s="23" t="s">
        <v>199</v>
      </c>
      <c r="AJ111" s="23">
        <v>0.0</v>
      </c>
      <c r="AK111" s="24" t="s">
        <v>1029</v>
      </c>
      <c r="AL111" s="25"/>
      <c r="AM111" s="25"/>
      <c r="AN111" s="25"/>
      <c r="AO111" s="25"/>
      <c r="AP111" s="25"/>
    </row>
    <row r="112" ht="15.75" customHeight="1">
      <c r="A112" s="26" t="s">
        <v>167</v>
      </c>
      <c r="B112" s="26">
        <v>2018.0</v>
      </c>
      <c r="C112" s="26" t="s">
        <v>147</v>
      </c>
      <c r="D112" s="26">
        <v>30.0</v>
      </c>
      <c r="E112" s="26" t="s">
        <v>176</v>
      </c>
      <c r="F112" s="26" t="s">
        <v>199</v>
      </c>
      <c r="G112" s="26" t="s">
        <v>176</v>
      </c>
      <c r="H112" s="26"/>
      <c r="I112" s="26"/>
      <c r="J112" s="46" t="s">
        <v>1030</v>
      </c>
      <c r="K112" s="47" t="s">
        <v>1031</v>
      </c>
      <c r="L112" s="47" t="s">
        <v>1032</v>
      </c>
      <c r="M112" s="26" t="s">
        <v>176</v>
      </c>
      <c r="N112" s="26" t="s">
        <v>176</v>
      </c>
      <c r="O112" s="26" t="s">
        <v>176</v>
      </c>
      <c r="P112" s="28">
        <v>0.37986111111111115</v>
      </c>
      <c r="Q112" s="26" t="s">
        <v>176</v>
      </c>
      <c r="R112" s="26" t="s">
        <v>628</v>
      </c>
      <c r="S112" s="26" t="s">
        <v>629</v>
      </c>
      <c r="T112" s="26" t="s">
        <v>221</v>
      </c>
      <c r="U112" s="26">
        <v>142.0</v>
      </c>
      <c r="V112" s="30" t="s">
        <v>199</v>
      </c>
      <c r="W112" s="30" t="s">
        <v>199</v>
      </c>
      <c r="X112" s="30" t="s">
        <v>199</v>
      </c>
      <c r="Y112" s="30">
        <v>1.0</v>
      </c>
      <c r="Z112" s="26">
        <v>1.0</v>
      </c>
      <c r="AA112" s="30" t="s">
        <v>199</v>
      </c>
      <c r="AB112" s="30" t="s">
        <v>199</v>
      </c>
      <c r="AC112" s="26" t="s">
        <v>1033</v>
      </c>
      <c r="AD112" s="30" t="s">
        <v>199</v>
      </c>
      <c r="AE112" s="30" t="s">
        <v>199</v>
      </c>
      <c r="AF112" s="30" t="s">
        <v>199</v>
      </c>
      <c r="AG112" s="30" t="s">
        <v>199</v>
      </c>
      <c r="AH112" s="30">
        <v>0.0</v>
      </c>
      <c r="AI112" s="26" t="s">
        <v>1034</v>
      </c>
      <c r="AJ112" s="30">
        <v>0.0</v>
      </c>
      <c r="AK112" s="32" t="s">
        <v>1035</v>
      </c>
      <c r="AL112" s="25"/>
      <c r="AM112" s="25"/>
      <c r="AN112" s="25"/>
      <c r="AO112" s="25"/>
      <c r="AP112" s="25"/>
    </row>
    <row r="113" ht="15.75" customHeight="1">
      <c r="A113" s="16" t="s">
        <v>167</v>
      </c>
      <c r="B113" s="16">
        <v>2018.0</v>
      </c>
      <c r="C113" s="16" t="s">
        <v>400</v>
      </c>
      <c r="D113" s="16">
        <v>1.0</v>
      </c>
      <c r="E113" s="16" t="s">
        <v>176</v>
      </c>
      <c r="F113" s="16" t="s">
        <v>199</v>
      </c>
      <c r="G113" s="16" t="s">
        <v>176</v>
      </c>
      <c r="H113" s="16"/>
      <c r="I113" s="16"/>
      <c r="J113" s="48" t="s">
        <v>363</v>
      </c>
      <c r="K113" s="49" t="s">
        <v>1036</v>
      </c>
      <c r="L113" s="49" t="s">
        <v>1037</v>
      </c>
      <c r="M113" s="16" t="s">
        <v>176</v>
      </c>
      <c r="N113" s="16" t="s">
        <v>176</v>
      </c>
      <c r="O113" s="16" t="s">
        <v>176</v>
      </c>
      <c r="P113" s="21">
        <v>0.27499999999999997</v>
      </c>
      <c r="Q113" s="16" t="s">
        <v>176</v>
      </c>
      <c r="R113" s="16" t="s">
        <v>628</v>
      </c>
      <c r="S113" s="16" t="s">
        <v>629</v>
      </c>
      <c r="T113" s="16" t="s">
        <v>198</v>
      </c>
      <c r="U113" s="16">
        <v>115.0</v>
      </c>
      <c r="V113" s="23" t="s">
        <v>199</v>
      </c>
      <c r="W113" s="23" t="s">
        <v>199</v>
      </c>
      <c r="X113" s="23" t="s">
        <v>199</v>
      </c>
      <c r="Y113" s="23">
        <v>1.0</v>
      </c>
      <c r="Z113" s="16">
        <v>1.0</v>
      </c>
      <c r="AA113" s="23" t="s">
        <v>199</v>
      </c>
      <c r="AB113" s="23" t="s">
        <v>199</v>
      </c>
      <c r="AC113" s="16" t="s">
        <v>1023</v>
      </c>
      <c r="AD113" s="23" t="s">
        <v>199</v>
      </c>
      <c r="AE113" s="23" t="s">
        <v>199</v>
      </c>
      <c r="AF113" s="23" t="s">
        <v>199</v>
      </c>
      <c r="AG113" s="23" t="s">
        <v>199</v>
      </c>
      <c r="AH113" s="23">
        <v>0.0</v>
      </c>
      <c r="AI113" s="16" t="s">
        <v>1038</v>
      </c>
      <c r="AJ113" s="23">
        <v>0.0</v>
      </c>
      <c r="AK113" s="24" t="s">
        <v>1039</v>
      </c>
      <c r="AL113" s="25"/>
      <c r="AM113" s="25"/>
      <c r="AN113" s="25"/>
      <c r="AO113" s="25"/>
      <c r="AP113" s="25"/>
    </row>
    <row r="114" ht="15.75" customHeight="1">
      <c r="A114" s="26" t="s">
        <v>167</v>
      </c>
      <c r="B114" s="26">
        <v>2018.0</v>
      </c>
      <c r="C114" s="26" t="s">
        <v>400</v>
      </c>
      <c r="D114" s="26">
        <v>1.0</v>
      </c>
      <c r="E114" s="26" t="s">
        <v>176</v>
      </c>
      <c r="F114" s="26" t="s">
        <v>199</v>
      </c>
      <c r="G114" s="26" t="s">
        <v>176</v>
      </c>
      <c r="H114" s="26"/>
      <c r="I114" s="26"/>
      <c r="J114" s="46" t="s">
        <v>1040</v>
      </c>
      <c r="K114" s="47" t="s">
        <v>1041</v>
      </c>
      <c r="L114" s="47" t="s">
        <v>1042</v>
      </c>
      <c r="M114" s="26" t="s">
        <v>176</v>
      </c>
      <c r="N114" s="26" t="s">
        <v>176</v>
      </c>
      <c r="O114" s="26" t="s">
        <v>176</v>
      </c>
      <c r="P114" s="28">
        <v>0.37916666666666665</v>
      </c>
      <c r="Q114" s="26" t="s">
        <v>176</v>
      </c>
      <c r="R114" s="26" t="s">
        <v>628</v>
      </c>
      <c r="S114" s="26" t="s">
        <v>629</v>
      </c>
      <c r="T114" s="26" t="s">
        <v>221</v>
      </c>
      <c r="U114" s="26">
        <v>98.0</v>
      </c>
      <c r="V114" s="30" t="s">
        <v>199</v>
      </c>
      <c r="W114" s="30" t="s">
        <v>199</v>
      </c>
      <c r="X114" s="30" t="s">
        <v>199</v>
      </c>
      <c r="Y114" s="30">
        <v>1.0</v>
      </c>
      <c r="Z114" s="26">
        <v>1.0</v>
      </c>
      <c r="AA114" s="30" t="s">
        <v>199</v>
      </c>
      <c r="AB114" s="30" t="s">
        <v>199</v>
      </c>
      <c r="AC114" s="26" t="s">
        <v>1043</v>
      </c>
      <c r="AD114" s="30" t="s">
        <v>199</v>
      </c>
      <c r="AE114" s="30" t="s">
        <v>199</v>
      </c>
      <c r="AF114" s="30" t="s">
        <v>199</v>
      </c>
      <c r="AG114" s="30" t="s">
        <v>199</v>
      </c>
      <c r="AH114" s="30">
        <v>0.0</v>
      </c>
      <c r="AI114" s="26" t="s">
        <v>1045</v>
      </c>
      <c r="AJ114" s="30">
        <v>0.0</v>
      </c>
      <c r="AK114" s="32" t="s">
        <v>1046</v>
      </c>
      <c r="AL114" s="25"/>
      <c r="AM114" s="25"/>
      <c r="AN114" s="25"/>
      <c r="AO114" s="25"/>
      <c r="AP114" s="25"/>
    </row>
    <row r="115" ht="15.75" customHeight="1">
      <c r="A115" s="16" t="s">
        <v>167</v>
      </c>
      <c r="B115" s="16">
        <v>2018.0</v>
      </c>
      <c r="C115" s="16" t="s">
        <v>400</v>
      </c>
      <c r="D115" s="16">
        <v>1.0</v>
      </c>
      <c r="E115" s="16" t="s">
        <v>176</v>
      </c>
      <c r="F115" s="16" t="s">
        <v>199</v>
      </c>
      <c r="G115" s="16" t="s">
        <v>176</v>
      </c>
      <c r="H115" s="16"/>
      <c r="I115" s="16"/>
      <c r="J115" s="48" t="s">
        <v>1047</v>
      </c>
      <c r="K115" s="49" t="s">
        <v>1048</v>
      </c>
      <c r="L115" s="49" t="s">
        <v>1050</v>
      </c>
      <c r="M115" s="16" t="s">
        <v>176</v>
      </c>
      <c r="N115" s="16" t="s">
        <v>176</v>
      </c>
      <c r="O115" s="16" t="s">
        <v>176</v>
      </c>
      <c r="P115" s="21">
        <v>0.4368055555555555</v>
      </c>
      <c r="Q115" s="16" t="s">
        <v>176</v>
      </c>
      <c r="R115" s="22" t="s">
        <v>194</v>
      </c>
      <c r="S115" s="16" t="s">
        <v>197</v>
      </c>
      <c r="T115" s="16" t="s">
        <v>198</v>
      </c>
      <c r="U115" s="16">
        <v>176.0</v>
      </c>
      <c r="V115" s="23" t="s">
        <v>199</v>
      </c>
      <c r="W115" s="23" t="s">
        <v>199</v>
      </c>
      <c r="X115" s="23" t="s">
        <v>199</v>
      </c>
      <c r="Y115" s="23">
        <v>0.0</v>
      </c>
      <c r="Z115" s="16">
        <v>0.0</v>
      </c>
      <c r="AA115" s="23" t="s">
        <v>199</v>
      </c>
      <c r="AB115" s="48" t="s">
        <v>1051</v>
      </c>
      <c r="AC115" s="23" t="s">
        <v>199</v>
      </c>
      <c r="AD115" s="23" t="s">
        <v>199</v>
      </c>
      <c r="AE115" s="23" t="s">
        <v>199</v>
      </c>
      <c r="AF115" s="23" t="s">
        <v>199</v>
      </c>
      <c r="AG115" s="23" t="s">
        <v>199</v>
      </c>
      <c r="AH115" s="23">
        <v>0.0</v>
      </c>
      <c r="AI115" s="23" t="s">
        <v>199</v>
      </c>
      <c r="AJ115" s="23">
        <v>0.0</v>
      </c>
      <c r="AK115" s="24" t="s">
        <v>1052</v>
      </c>
      <c r="AL115" s="25"/>
      <c r="AM115" s="25"/>
      <c r="AN115" s="25"/>
      <c r="AO115" s="25"/>
      <c r="AP115" s="25"/>
    </row>
    <row r="116" ht="15.75" customHeight="1">
      <c r="A116" s="26" t="s">
        <v>1053</v>
      </c>
      <c r="B116" s="26">
        <v>2021.0</v>
      </c>
      <c r="C116" s="26" t="s">
        <v>925</v>
      </c>
      <c r="D116" s="26">
        <v>1.0</v>
      </c>
      <c r="E116" s="26">
        <v>1.0</v>
      </c>
      <c r="F116" s="26" t="s">
        <v>199</v>
      </c>
      <c r="G116" s="26" t="s">
        <v>154</v>
      </c>
      <c r="H116" s="26">
        <v>5.0</v>
      </c>
      <c r="I116" s="26">
        <v>1.0</v>
      </c>
      <c r="J116" s="26">
        <v>581.0</v>
      </c>
      <c r="K116" s="47" t="s">
        <v>1055</v>
      </c>
      <c r="L116" s="47" t="s">
        <v>1056</v>
      </c>
      <c r="M116" s="26">
        <v>55.0</v>
      </c>
      <c r="N116" s="26" t="s">
        <v>19</v>
      </c>
      <c r="O116" s="26" t="s">
        <v>50</v>
      </c>
      <c r="P116" s="28">
        <v>0.39166666666666666</v>
      </c>
      <c r="Q116" s="51" t="s">
        <v>287</v>
      </c>
      <c r="R116" s="29" t="s">
        <v>194</v>
      </c>
      <c r="S116" s="26" t="s">
        <v>197</v>
      </c>
      <c r="T116" s="26" t="s">
        <v>221</v>
      </c>
      <c r="U116" s="26">
        <v>107.0</v>
      </c>
      <c r="V116" s="26">
        <v>85.0</v>
      </c>
      <c r="W116" s="26">
        <v>76.0</v>
      </c>
      <c r="X116" s="30" t="s">
        <v>199</v>
      </c>
      <c r="Y116" s="26">
        <v>0.0</v>
      </c>
      <c r="Z116" s="30">
        <v>0.0</v>
      </c>
      <c r="AA116" s="30" t="s">
        <v>199</v>
      </c>
      <c r="AB116" s="30" t="s">
        <v>199</v>
      </c>
      <c r="AC116" s="30" t="s">
        <v>199</v>
      </c>
      <c r="AD116" s="30" t="s">
        <v>199</v>
      </c>
      <c r="AE116" s="30" t="s">
        <v>199</v>
      </c>
      <c r="AF116" s="30" t="s">
        <v>199</v>
      </c>
      <c r="AG116" s="30" t="s">
        <v>199</v>
      </c>
      <c r="AH116" s="26">
        <v>0.0</v>
      </c>
      <c r="AI116" s="30" t="s">
        <v>199</v>
      </c>
      <c r="AJ116" s="30">
        <v>0.0</v>
      </c>
      <c r="AK116" s="32" t="s">
        <v>1058</v>
      </c>
      <c r="AL116" s="25"/>
      <c r="AM116" s="25"/>
      <c r="AN116" s="25"/>
      <c r="AO116" s="25"/>
      <c r="AP116" s="25"/>
    </row>
    <row r="117" ht="15.75" customHeight="1">
      <c r="A117" s="16" t="s">
        <v>1053</v>
      </c>
      <c r="B117" s="16">
        <v>2021.0</v>
      </c>
      <c r="C117" s="16" t="s">
        <v>925</v>
      </c>
      <c r="D117" s="16">
        <v>1.0</v>
      </c>
      <c r="E117" s="16">
        <v>2.0</v>
      </c>
      <c r="F117" s="16" t="s">
        <v>199</v>
      </c>
      <c r="G117" s="16" t="s">
        <v>154</v>
      </c>
      <c r="H117" s="16">
        <v>6.0</v>
      </c>
      <c r="I117" s="16">
        <v>1.0</v>
      </c>
      <c r="J117" s="16">
        <v>582.0</v>
      </c>
      <c r="K117" s="49" t="s">
        <v>1059</v>
      </c>
      <c r="L117" s="49" t="s">
        <v>1060</v>
      </c>
      <c r="M117" s="16">
        <v>46.0</v>
      </c>
      <c r="N117" s="16" t="s">
        <v>19</v>
      </c>
      <c r="O117" s="16" t="s">
        <v>50</v>
      </c>
      <c r="P117" s="21">
        <v>0.39652777777777776</v>
      </c>
      <c r="Q117" s="52" t="s">
        <v>267</v>
      </c>
      <c r="R117" s="22" t="s">
        <v>194</v>
      </c>
      <c r="S117" s="16" t="s">
        <v>197</v>
      </c>
      <c r="T117" s="16" t="s">
        <v>221</v>
      </c>
      <c r="U117" s="16">
        <v>122.0</v>
      </c>
      <c r="V117" s="16">
        <v>102.0</v>
      </c>
      <c r="W117" s="16">
        <v>91.0</v>
      </c>
      <c r="X117" s="23" t="s">
        <v>199</v>
      </c>
      <c r="Y117" s="16">
        <v>0.0</v>
      </c>
      <c r="Z117" s="23">
        <v>0.0</v>
      </c>
      <c r="AA117" s="23" t="s">
        <v>199</v>
      </c>
      <c r="AB117" s="23" t="s">
        <v>199</v>
      </c>
      <c r="AC117" s="23" t="s">
        <v>199</v>
      </c>
      <c r="AD117" s="23" t="s">
        <v>199</v>
      </c>
      <c r="AE117" s="23" t="s">
        <v>199</v>
      </c>
      <c r="AF117" s="23" t="s">
        <v>199</v>
      </c>
      <c r="AG117" s="23" t="s">
        <v>199</v>
      </c>
      <c r="AH117" s="16">
        <v>0.0</v>
      </c>
      <c r="AI117" s="23" t="s">
        <v>199</v>
      </c>
      <c r="AJ117" s="23">
        <v>0.0</v>
      </c>
      <c r="AK117" s="24"/>
      <c r="AL117" s="25"/>
      <c r="AM117" s="25"/>
      <c r="AN117" s="25"/>
      <c r="AO117" s="25"/>
      <c r="AP117" s="25"/>
    </row>
    <row r="118" ht="15.75" customHeight="1">
      <c r="A118" s="26" t="s">
        <v>1053</v>
      </c>
      <c r="B118" s="26">
        <v>2021.0</v>
      </c>
      <c r="C118" s="26" t="s">
        <v>925</v>
      </c>
      <c r="D118" s="26">
        <v>1.0</v>
      </c>
      <c r="E118" s="26">
        <v>3.0</v>
      </c>
      <c r="F118" s="26" t="s">
        <v>199</v>
      </c>
      <c r="G118" s="26" t="s">
        <v>154</v>
      </c>
      <c r="H118" s="26">
        <v>7.0</v>
      </c>
      <c r="I118" s="26">
        <v>1.0</v>
      </c>
      <c r="J118" s="26">
        <v>583.0</v>
      </c>
      <c r="K118" s="47" t="s">
        <v>1061</v>
      </c>
      <c r="L118" s="47" t="s">
        <v>1062</v>
      </c>
      <c r="M118" s="26">
        <v>55.0</v>
      </c>
      <c r="N118" s="26" t="s">
        <v>19</v>
      </c>
      <c r="O118" s="26" t="s">
        <v>50</v>
      </c>
      <c r="P118" s="28">
        <v>0.4027777777777778</v>
      </c>
      <c r="Q118" s="51" t="s">
        <v>267</v>
      </c>
      <c r="R118" s="29" t="s">
        <v>194</v>
      </c>
      <c r="S118" s="26" t="s">
        <v>197</v>
      </c>
      <c r="T118" s="26" t="s">
        <v>198</v>
      </c>
      <c r="U118" s="26">
        <v>99.0</v>
      </c>
      <c r="V118" s="26">
        <v>79.0</v>
      </c>
      <c r="W118" s="26">
        <v>70.0</v>
      </c>
      <c r="X118" s="30" t="s">
        <v>199</v>
      </c>
      <c r="Y118" s="26">
        <v>1.0</v>
      </c>
      <c r="Z118" s="30">
        <v>0.0</v>
      </c>
      <c r="AA118" s="26" t="s">
        <v>1063</v>
      </c>
      <c r="AB118" s="46" t="s">
        <v>1064</v>
      </c>
      <c r="AC118" s="30" t="s">
        <v>199</v>
      </c>
      <c r="AD118" s="30" t="s">
        <v>199</v>
      </c>
      <c r="AE118" s="30" t="s">
        <v>199</v>
      </c>
      <c r="AF118" s="30" t="s">
        <v>199</v>
      </c>
      <c r="AG118" s="30" t="s">
        <v>199</v>
      </c>
      <c r="AH118" s="26">
        <v>0.0</v>
      </c>
      <c r="AI118" s="30" t="s">
        <v>199</v>
      </c>
      <c r="AJ118" s="30">
        <v>0.0</v>
      </c>
      <c r="AK118" s="32"/>
      <c r="AL118" s="25"/>
      <c r="AM118" s="25"/>
      <c r="AN118" s="25"/>
      <c r="AO118" s="25"/>
      <c r="AP118" s="25"/>
    </row>
    <row r="119" ht="15.75" customHeight="1">
      <c r="A119" s="16" t="s">
        <v>1053</v>
      </c>
      <c r="B119" s="16">
        <v>2021.0</v>
      </c>
      <c r="C119" s="16" t="s">
        <v>925</v>
      </c>
      <c r="D119" s="16">
        <v>1.0</v>
      </c>
      <c r="E119" s="16">
        <v>4.0</v>
      </c>
      <c r="F119" s="16" t="s">
        <v>199</v>
      </c>
      <c r="G119" s="16" t="s">
        <v>154</v>
      </c>
      <c r="H119" s="16">
        <v>8.0</v>
      </c>
      <c r="I119" s="16">
        <v>1.0</v>
      </c>
      <c r="J119" s="16">
        <v>584.0</v>
      </c>
      <c r="K119" s="49" t="s">
        <v>1066</v>
      </c>
      <c r="L119" s="49" t="s">
        <v>1067</v>
      </c>
      <c r="M119" s="16">
        <v>68.0</v>
      </c>
      <c r="N119" s="16" t="s">
        <v>19</v>
      </c>
      <c r="O119" s="16" t="s">
        <v>50</v>
      </c>
      <c r="P119" s="21">
        <v>0.40902777777777777</v>
      </c>
      <c r="Q119" s="52" t="s">
        <v>267</v>
      </c>
      <c r="R119" s="22" t="s">
        <v>194</v>
      </c>
      <c r="S119" s="16" t="s">
        <v>197</v>
      </c>
      <c r="T119" s="16" t="s">
        <v>198</v>
      </c>
      <c r="U119" s="16">
        <v>134.0</v>
      </c>
      <c r="V119" s="16">
        <v>107.0</v>
      </c>
      <c r="W119" s="16">
        <v>96.0</v>
      </c>
      <c r="X119" s="23" t="s">
        <v>199</v>
      </c>
      <c r="Y119" s="16">
        <v>1.0</v>
      </c>
      <c r="Z119" s="23">
        <v>0.0</v>
      </c>
      <c r="AA119" s="16" t="s">
        <v>1080</v>
      </c>
      <c r="AB119" s="48" t="s">
        <v>1081</v>
      </c>
      <c r="AC119" s="23" t="s">
        <v>199</v>
      </c>
      <c r="AD119" s="23" t="s">
        <v>199</v>
      </c>
      <c r="AE119" s="23" t="s">
        <v>199</v>
      </c>
      <c r="AF119" s="23" t="s">
        <v>199</v>
      </c>
      <c r="AG119" s="23" t="s">
        <v>199</v>
      </c>
      <c r="AH119" s="16">
        <v>0.0</v>
      </c>
      <c r="AI119" s="23" t="s">
        <v>199</v>
      </c>
      <c r="AJ119" s="23">
        <v>0.0</v>
      </c>
      <c r="AK119" s="24"/>
      <c r="AL119" s="25"/>
      <c r="AM119" s="25"/>
      <c r="AN119" s="25"/>
      <c r="AO119" s="25"/>
      <c r="AP119" s="25"/>
    </row>
    <row r="120" ht="15.75" customHeight="1">
      <c r="A120" s="26" t="s">
        <v>1053</v>
      </c>
      <c r="B120" s="26">
        <v>2021.0</v>
      </c>
      <c r="C120" s="26" t="s">
        <v>925</v>
      </c>
      <c r="D120" s="26">
        <v>1.0</v>
      </c>
      <c r="E120" s="26">
        <v>5.0</v>
      </c>
      <c r="F120" s="26" t="s">
        <v>199</v>
      </c>
      <c r="G120" s="26" t="s">
        <v>154</v>
      </c>
      <c r="H120" s="26">
        <v>5.0</v>
      </c>
      <c r="I120" s="26">
        <v>2.0</v>
      </c>
      <c r="J120" s="26">
        <v>581.0</v>
      </c>
      <c r="K120" s="47" t="s">
        <v>1055</v>
      </c>
      <c r="L120" s="47" t="s">
        <v>1056</v>
      </c>
      <c r="M120" s="26">
        <v>55.0</v>
      </c>
      <c r="N120" s="26" t="s">
        <v>19</v>
      </c>
      <c r="O120" s="26" t="s">
        <v>50</v>
      </c>
      <c r="P120" s="28">
        <v>0.45069444444444445</v>
      </c>
      <c r="Q120" s="51" t="s">
        <v>309</v>
      </c>
      <c r="R120" s="29" t="s">
        <v>194</v>
      </c>
      <c r="S120" s="26" t="s">
        <v>197</v>
      </c>
      <c r="T120" s="26" t="s">
        <v>198</v>
      </c>
      <c r="U120" s="26">
        <v>160.0</v>
      </c>
      <c r="V120" s="26">
        <v>125.0</v>
      </c>
      <c r="W120" s="26">
        <v>105.0</v>
      </c>
      <c r="X120" s="30" t="s">
        <v>199</v>
      </c>
      <c r="Y120" s="26">
        <v>1.0</v>
      </c>
      <c r="Z120" s="30">
        <v>0.0</v>
      </c>
      <c r="AA120" s="26" t="s">
        <v>1086</v>
      </c>
      <c r="AB120" s="46" t="s">
        <v>1087</v>
      </c>
      <c r="AC120" s="30" t="s">
        <v>199</v>
      </c>
      <c r="AD120" s="30" t="s">
        <v>199</v>
      </c>
      <c r="AE120" s="30" t="s">
        <v>199</v>
      </c>
      <c r="AF120" s="30" t="s">
        <v>199</v>
      </c>
      <c r="AG120" s="30" t="s">
        <v>199</v>
      </c>
      <c r="AH120" s="26">
        <v>0.0</v>
      </c>
      <c r="AI120" s="30" t="s">
        <v>199</v>
      </c>
      <c r="AJ120" s="30">
        <v>0.0</v>
      </c>
      <c r="AK120" s="32"/>
      <c r="AL120" s="25"/>
      <c r="AM120" s="25"/>
      <c r="AN120" s="25"/>
      <c r="AO120" s="25"/>
      <c r="AP120" s="25"/>
    </row>
    <row r="121" ht="15.75" customHeight="1">
      <c r="A121" s="16" t="s">
        <v>1053</v>
      </c>
      <c r="B121" s="16">
        <v>2021.0</v>
      </c>
      <c r="C121" s="16" t="s">
        <v>925</v>
      </c>
      <c r="D121" s="16">
        <v>1.0</v>
      </c>
      <c r="E121" s="16">
        <v>6.0</v>
      </c>
      <c r="F121" s="16" t="s">
        <v>199</v>
      </c>
      <c r="G121" s="16" t="s">
        <v>154</v>
      </c>
      <c r="H121" s="16">
        <v>6.0</v>
      </c>
      <c r="I121" s="16">
        <v>2.0</v>
      </c>
      <c r="J121" s="16">
        <v>582.0</v>
      </c>
      <c r="K121" s="49" t="s">
        <v>1059</v>
      </c>
      <c r="L121" s="49" t="s">
        <v>1060</v>
      </c>
      <c r="M121" s="16">
        <v>46.0</v>
      </c>
      <c r="N121" s="16" t="s">
        <v>19</v>
      </c>
      <c r="O121" s="16" t="s">
        <v>50</v>
      </c>
      <c r="P121" s="21">
        <v>0.46458333333333335</v>
      </c>
      <c r="Q121" s="52" t="s">
        <v>309</v>
      </c>
      <c r="R121" s="22" t="s">
        <v>194</v>
      </c>
      <c r="S121" s="16" t="s">
        <v>197</v>
      </c>
      <c r="T121" s="16" t="s">
        <v>221</v>
      </c>
      <c r="U121" s="23" t="s">
        <v>199</v>
      </c>
      <c r="V121" s="23" t="s">
        <v>199</v>
      </c>
      <c r="W121" s="23" t="s">
        <v>199</v>
      </c>
      <c r="X121" s="23" t="s">
        <v>199</v>
      </c>
      <c r="Y121" s="16">
        <v>0.0</v>
      </c>
      <c r="Z121" s="23">
        <v>0.0</v>
      </c>
      <c r="AA121" s="23" t="s">
        <v>199</v>
      </c>
      <c r="AB121" s="23" t="s">
        <v>199</v>
      </c>
      <c r="AC121" s="23" t="s">
        <v>199</v>
      </c>
      <c r="AD121" s="23" t="s">
        <v>199</v>
      </c>
      <c r="AE121" s="23" t="s">
        <v>199</v>
      </c>
      <c r="AF121" s="23" t="s">
        <v>199</v>
      </c>
      <c r="AG121" s="23" t="s">
        <v>199</v>
      </c>
      <c r="AH121" s="16">
        <v>0.0</v>
      </c>
      <c r="AI121" s="23" t="s">
        <v>199</v>
      </c>
      <c r="AJ121" s="23">
        <v>0.0</v>
      </c>
      <c r="AK121" s="24" t="s">
        <v>1095</v>
      </c>
      <c r="AL121" s="25"/>
      <c r="AM121" s="25"/>
      <c r="AN121" s="25"/>
      <c r="AO121" s="25"/>
      <c r="AP121" s="25"/>
    </row>
    <row r="122" ht="15.75" customHeight="1">
      <c r="A122" s="26" t="s">
        <v>1053</v>
      </c>
      <c r="B122" s="26">
        <v>2021.0</v>
      </c>
      <c r="C122" s="26" t="s">
        <v>925</v>
      </c>
      <c r="D122" s="26">
        <v>1.0</v>
      </c>
      <c r="E122" s="26">
        <v>7.0</v>
      </c>
      <c r="F122" s="26" t="s">
        <v>199</v>
      </c>
      <c r="G122" s="26" t="s">
        <v>154</v>
      </c>
      <c r="H122" s="26">
        <v>7.0</v>
      </c>
      <c r="I122" s="26">
        <v>2.0</v>
      </c>
      <c r="J122" s="26">
        <v>583.0</v>
      </c>
      <c r="K122" s="47" t="s">
        <v>1061</v>
      </c>
      <c r="L122" s="47" t="s">
        <v>1062</v>
      </c>
      <c r="M122" s="26">
        <v>55.0</v>
      </c>
      <c r="N122" s="26" t="s">
        <v>19</v>
      </c>
      <c r="O122" s="26" t="s">
        <v>50</v>
      </c>
      <c r="P122" s="28">
        <v>0.4701388888888889</v>
      </c>
      <c r="Q122" s="51" t="s">
        <v>309</v>
      </c>
      <c r="R122" s="29" t="s">
        <v>194</v>
      </c>
      <c r="S122" s="26" t="s">
        <v>197</v>
      </c>
      <c r="T122" s="26" t="s">
        <v>221</v>
      </c>
      <c r="U122" s="30" t="s">
        <v>199</v>
      </c>
      <c r="V122" s="30" t="s">
        <v>199</v>
      </c>
      <c r="W122" s="30" t="s">
        <v>199</v>
      </c>
      <c r="X122" s="30" t="s">
        <v>199</v>
      </c>
      <c r="Y122" s="26">
        <v>0.0</v>
      </c>
      <c r="Z122" s="30">
        <v>0.0</v>
      </c>
      <c r="AA122" s="30" t="s">
        <v>199</v>
      </c>
      <c r="AB122" s="30" t="s">
        <v>199</v>
      </c>
      <c r="AC122" s="30" t="s">
        <v>199</v>
      </c>
      <c r="AD122" s="30" t="s">
        <v>199</v>
      </c>
      <c r="AE122" s="30" t="s">
        <v>199</v>
      </c>
      <c r="AF122" s="30" t="s">
        <v>199</v>
      </c>
      <c r="AG122" s="30" t="s">
        <v>199</v>
      </c>
      <c r="AH122" s="26">
        <v>0.0</v>
      </c>
      <c r="AI122" s="30" t="s">
        <v>199</v>
      </c>
      <c r="AJ122" s="30">
        <v>0.0</v>
      </c>
      <c r="AK122" s="32" t="s">
        <v>1096</v>
      </c>
      <c r="AL122" s="25"/>
      <c r="AM122" s="25"/>
      <c r="AN122" s="25"/>
      <c r="AO122" s="25"/>
      <c r="AP122" s="25"/>
    </row>
    <row r="123" ht="15.75" customHeight="1">
      <c r="A123" s="16" t="s">
        <v>1053</v>
      </c>
      <c r="B123" s="16">
        <v>2021.0</v>
      </c>
      <c r="C123" s="16" t="s">
        <v>925</v>
      </c>
      <c r="D123" s="16">
        <v>1.0</v>
      </c>
      <c r="E123" s="16">
        <v>8.0</v>
      </c>
      <c r="F123" s="16" t="s">
        <v>199</v>
      </c>
      <c r="G123" s="16" t="s">
        <v>154</v>
      </c>
      <c r="H123" s="16">
        <v>8.0</v>
      </c>
      <c r="I123" s="16">
        <v>2.0</v>
      </c>
      <c r="J123" s="16">
        <v>584.0</v>
      </c>
      <c r="K123" s="49" t="s">
        <v>1066</v>
      </c>
      <c r="L123" s="49" t="s">
        <v>1067</v>
      </c>
      <c r="M123" s="16">
        <v>68.0</v>
      </c>
      <c r="N123" s="16" t="s">
        <v>19</v>
      </c>
      <c r="O123" s="16" t="s">
        <v>50</v>
      </c>
      <c r="P123" s="21">
        <v>0.47430555555555554</v>
      </c>
      <c r="Q123" s="52" t="s">
        <v>309</v>
      </c>
      <c r="R123" s="22" t="s">
        <v>194</v>
      </c>
      <c r="S123" s="16" t="s">
        <v>197</v>
      </c>
      <c r="T123" s="16" t="s">
        <v>221</v>
      </c>
      <c r="U123" s="16">
        <v>100.0</v>
      </c>
      <c r="V123" s="16">
        <v>79.0</v>
      </c>
      <c r="W123" s="16">
        <v>69.0</v>
      </c>
      <c r="X123" s="23" t="s">
        <v>199</v>
      </c>
      <c r="Y123" s="16">
        <v>0.0</v>
      </c>
      <c r="Z123" s="23">
        <v>0.0</v>
      </c>
      <c r="AA123" s="23" t="s">
        <v>199</v>
      </c>
      <c r="AB123" s="23" t="s">
        <v>199</v>
      </c>
      <c r="AC123" s="23" t="s">
        <v>199</v>
      </c>
      <c r="AD123" s="23" t="s">
        <v>199</v>
      </c>
      <c r="AE123" s="23" t="s">
        <v>199</v>
      </c>
      <c r="AF123" s="23" t="s">
        <v>199</v>
      </c>
      <c r="AG123" s="23" t="s">
        <v>199</v>
      </c>
      <c r="AH123" s="16">
        <v>0.0</v>
      </c>
      <c r="AI123" s="23" t="s">
        <v>199</v>
      </c>
      <c r="AJ123" s="23">
        <v>0.0</v>
      </c>
      <c r="AK123" s="24" t="s">
        <v>1097</v>
      </c>
      <c r="AL123" s="25"/>
      <c r="AM123" s="25"/>
      <c r="AN123" s="25"/>
      <c r="AO123" s="25"/>
      <c r="AP123" s="25"/>
    </row>
    <row r="124" ht="15.75" customHeight="1">
      <c r="A124" s="26" t="s">
        <v>1053</v>
      </c>
      <c r="B124" s="26">
        <v>2021.0</v>
      </c>
      <c r="C124" s="26" t="s">
        <v>925</v>
      </c>
      <c r="D124" s="26">
        <v>1.0</v>
      </c>
      <c r="E124" s="26">
        <v>9.0</v>
      </c>
      <c r="F124" s="26" t="s">
        <v>199</v>
      </c>
      <c r="G124" s="26" t="s">
        <v>154</v>
      </c>
      <c r="H124" s="26">
        <v>6.0</v>
      </c>
      <c r="I124" s="26">
        <v>3.0</v>
      </c>
      <c r="J124" s="26">
        <v>582.0</v>
      </c>
      <c r="K124" s="47" t="s">
        <v>1059</v>
      </c>
      <c r="L124" s="47" t="s">
        <v>1060</v>
      </c>
      <c r="M124" s="26">
        <v>46.0</v>
      </c>
      <c r="N124" s="26" t="s">
        <v>19</v>
      </c>
      <c r="O124" s="26" t="s">
        <v>50</v>
      </c>
      <c r="P124" s="28">
        <v>0.5180555555555556</v>
      </c>
      <c r="Q124" s="51" t="s">
        <v>287</v>
      </c>
      <c r="R124" s="29" t="s">
        <v>194</v>
      </c>
      <c r="S124" s="26" t="s">
        <v>197</v>
      </c>
      <c r="T124" s="26" t="s">
        <v>221</v>
      </c>
      <c r="U124" s="26">
        <v>72.0</v>
      </c>
      <c r="V124" s="26">
        <v>58.0</v>
      </c>
      <c r="W124" s="26">
        <v>51.0</v>
      </c>
      <c r="X124" s="30" t="s">
        <v>199</v>
      </c>
      <c r="Y124" s="26">
        <v>0.0</v>
      </c>
      <c r="Z124" s="30">
        <v>0.0</v>
      </c>
      <c r="AA124" s="30" t="s">
        <v>199</v>
      </c>
      <c r="AB124" s="30" t="s">
        <v>199</v>
      </c>
      <c r="AC124" s="30" t="s">
        <v>199</v>
      </c>
      <c r="AD124" s="30" t="s">
        <v>199</v>
      </c>
      <c r="AE124" s="30" t="s">
        <v>199</v>
      </c>
      <c r="AF124" s="30" t="s">
        <v>199</v>
      </c>
      <c r="AG124" s="30" t="s">
        <v>199</v>
      </c>
      <c r="AH124" s="26">
        <v>0.0</v>
      </c>
      <c r="AI124" s="30" t="s">
        <v>199</v>
      </c>
      <c r="AJ124" s="30">
        <v>0.0</v>
      </c>
      <c r="AK124" s="32"/>
      <c r="AL124" s="25"/>
      <c r="AM124" s="25"/>
      <c r="AN124" s="25"/>
      <c r="AO124" s="25"/>
      <c r="AP124" s="25"/>
    </row>
    <row r="125" ht="15.75" customHeight="1">
      <c r="A125" s="16" t="s">
        <v>1053</v>
      </c>
      <c r="B125" s="16">
        <v>2021.0</v>
      </c>
      <c r="C125" s="16" t="s">
        <v>925</v>
      </c>
      <c r="D125" s="16">
        <v>1.0</v>
      </c>
      <c r="E125" s="16">
        <v>10.0</v>
      </c>
      <c r="F125" s="16" t="s">
        <v>199</v>
      </c>
      <c r="G125" s="16" t="s">
        <v>154</v>
      </c>
      <c r="H125" s="16">
        <v>1.0</v>
      </c>
      <c r="I125" s="16">
        <v>4.0</v>
      </c>
      <c r="J125" s="16">
        <v>542.0</v>
      </c>
      <c r="K125" s="49" t="s">
        <v>1098</v>
      </c>
      <c r="L125" s="49" t="s">
        <v>1099</v>
      </c>
      <c r="M125" s="16">
        <v>69.0</v>
      </c>
      <c r="N125" s="16" t="s">
        <v>19</v>
      </c>
      <c r="O125" s="16" t="s">
        <v>50</v>
      </c>
      <c r="P125" s="21">
        <v>0.5756944444444444</v>
      </c>
      <c r="Q125" s="52" t="s">
        <v>287</v>
      </c>
      <c r="R125" s="22" t="s">
        <v>194</v>
      </c>
      <c r="S125" s="16" t="s">
        <v>197</v>
      </c>
      <c r="T125" s="16" t="s">
        <v>221</v>
      </c>
      <c r="U125" s="16">
        <v>206.0</v>
      </c>
      <c r="V125" s="16">
        <v>169.0</v>
      </c>
      <c r="W125" s="16">
        <v>153.0</v>
      </c>
      <c r="X125" s="53">
        <v>18.0</v>
      </c>
      <c r="Y125" s="16">
        <v>1.0</v>
      </c>
      <c r="Z125" s="23">
        <v>1.0</v>
      </c>
      <c r="AA125" s="16" t="s">
        <v>1100</v>
      </c>
      <c r="AB125" s="48" t="s">
        <v>1101</v>
      </c>
      <c r="AC125" s="23" t="s">
        <v>199</v>
      </c>
      <c r="AD125" s="23" t="s">
        <v>199</v>
      </c>
      <c r="AE125" s="23" t="s">
        <v>199</v>
      </c>
      <c r="AF125" s="23" t="s">
        <v>199</v>
      </c>
      <c r="AG125" s="16" t="s">
        <v>1102</v>
      </c>
      <c r="AH125" s="16">
        <v>0.0</v>
      </c>
      <c r="AI125" s="23" t="s">
        <v>199</v>
      </c>
      <c r="AJ125" s="23">
        <v>0.0</v>
      </c>
      <c r="AK125" s="54" t="s">
        <v>1103</v>
      </c>
      <c r="AL125" s="25"/>
      <c r="AM125" s="25"/>
      <c r="AN125" s="25"/>
      <c r="AO125" s="25"/>
      <c r="AP125" s="25"/>
    </row>
    <row r="126" ht="15.75" customHeight="1">
      <c r="A126" s="26" t="s">
        <v>1053</v>
      </c>
      <c r="B126" s="26">
        <v>2021.0</v>
      </c>
      <c r="C126" s="26" t="s">
        <v>925</v>
      </c>
      <c r="D126" s="26">
        <v>1.0</v>
      </c>
      <c r="E126" s="26">
        <v>11.0</v>
      </c>
      <c r="F126" s="26" t="s">
        <v>199</v>
      </c>
      <c r="G126" s="26" t="s">
        <v>154</v>
      </c>
      <c r="H126" s="26">
        <v>3.0</v>
      </c>
      <c r="I126" s="26">
        <v>4.0</v>
      </c>
      <c r="J126" s="26">
        <v>544.0</v>
      </c>
      <c r="K126" s="47" t="s">
        <v>1104</v>
      </c>
      <c r="L126" s="47" t="s">
        <v>1105</v>
      </c>
      <c r="M126" s="26">
        <v>56.0</v>
      </c>
      <c r="N126" s="26" t="s">
        <v>19</v>
      </c>
      <c r="O126" s="26" t="s">
        <v>50</v>
      </c>
      <c r="P126" s="28">
        <v>0.6013888888888889</v>
      </c>
      <c r="Q126" s="51" t="s">
        <v>309</v>
      </c>
      <c r="R126" s="29" t="s">
        <v>194</v>
      </c>
      <c r="S126" s="26" t="s">
        <v>197</v>
      </c>
      <c r="T126" s="30" t="s">
        <v>176</v>
      </c>
      <c r="U126" s="30" t="s">
        <v>199</v>
      </c>
      <c r="V126" s="30" t="s">
        <v>199</v>
      </c>
      <c r="W126" s="30" t="s">
        <v>199</v>
      </c>
      <c r="X126" s="30" t="s">
        <v>199</v>
      </c>
      <c r="Y126" s="26">
        <v>0.0</v>
      </c>
      <c r="Z126" s="30">
        <v>0.0</v>
      </c>
      <c r="AA126" s="30" t="s">
        <v>199</v>
      </c>
      <c r="AB126" s="30" t="s">
        <v>199</v>
      </c>
      <c r="AC126" s="30" t="s">
        <v>199</v>
      </c>
      <c r="AD126" s="30" t="s">
        <v>199</v>
      </c>
      <c r="AE126" s="30" t="s">
        <v>199</v>
      </c>
      <c r="AF126" s="30" t="s">
        <v>199</v>
      </c>
      <c r="AG126" s="30" t="s">
        <v>199</v>
      </c>
      <c r="AH126" s="26">
        <v>0.0</v>
      </c>
      <c r="AI126" s="30" t="s">
        <v>199</v>
      </c>
      <c r="AJ126" s="30">
        <v>0.0</v>
      </c>
      <c r="AK126" s="32"/>
      <c r="AL126" s="25"/>
      <c r="AM126" s="25"/>
      <c r="AN126" s="25"/>
      <c r="AO126" s="25"/>
      <c r="AP126" s="25"/>
    </row>
    <row r="127" ht="15.75" customHeight="1">
      <c r="A127" s="16" t="s">
        <v>1053</v>
      </c>
      <c r="B127" s="16">
        <v>2021.0</v>
      </c>
      <c r="C127" s="16" t="s">
        <v>925</v>
      </c>
      <c r="D127" s="16">
        <v>1.0</v>
      </c>
      <c r="E127" s="16">
        <v>12.0</v>
      </c>
      <c r="F127" s="16" t="s">
        <v>199</v>
      </c>
      <c r="G127" s="16" t="s">
        <v>154</v>
      </c>
      <c r="H127" s="16">
        <v>4.0</v>
      </c>
      <c r="I127" s="16">
        <v>4.0</v>
      </c>
      <c r="J127" s="16">
        <v>545.0</v>
      </c>
      <c r="K127" s="49" t="s">
        <v>1106</v>
      </c>
      <c r="L127" s="49" t="s">
        <v>1107</v>
      </c>
      <c r="M127" s="16">
        <v>55.0</v>
      </c>
      <c r="N127" s="16" t="s">
        <v>19</v>
      </c>
      <c r="O127" s="16" t="s">
        <v>50</v>
      </c>
      <c r="P127" s="21">
        <v>0.6048611111111111</v>
      </c>
      <c r="Q127" s="52" t="s">
        <v>287</v>
      </c>
      <c r="R127" s="22" t="s">
        <v>194</v>
      </c>
      <c r="S127" s="16" t="s">
        <v>197</v>
      </c>
      <c r="T127" s="23" t="s">
        <v>176</v>
      </c>
      <c r="U127" s="23" t="s">
        <v>199</v>
      </c>
      <c r="V127" s="23" t="s">
        <v>199</v>
      </c>
      <c r="W127" s="23" t="s">
        <v>199</v>
      </c>
      <c r="X127" s="23" t="s">
        <v>199</v>
      </c>
      <c r="Y127" s="16">
        <v>0.0</v>
      </c>
      <c r="Z127" s="23">
        <v>0.0</v>
      </c>
      <c r="AA127" s="23" t="s">
        <v>199</v>
      </c>
      <c r="AB127" s="23" t="s">
        <v>199</v>
      </c>
      <c r="AC127" s="23" t="s">
        <v>199</v>
      </c>
      <c r="AD127" s="23" t="s">
        <v>199</v>
      </c>
      <c r="AE127" s="23" t="s">
        <v>199</v>
      </c>
      <c r="AF127" s="23" t="s">
        <v>199</v>
      </c>
      <c r="AG127" s="23" t="s">
        <v>199</v>
      </c>
      <c r="AH127" s="16">
        <v>0.0</v>
      </c>
      <c r="AI127" s="23" t="s">
        <v>199</v>
      </c>
      <c r="AJ127" s="23">
        <v>0.0</v>
      </c>
      <c r="AK127" s="24"/>
      <c r="AL127" s="25"/>
      <c r="AM127" s="25"/>
      <c r="AN127" s="25"/>
      <c r="AO127" s="25"/>
      <c r="AP127" s="25"/>
    </row>
    <row r="128" ht="15.75" customHeight="1">
      <c r="A128" s="26" t="s">
        <v>1053</v>
      </c>
      <c r="B128" s="26">
        <v>2021.0</v>
      </c>
      <c r="C128" s="26" t="s">
        <v>925</v>
      </c>
      <c r="D128" s="26">
        <v>1.0</v>
      </c>
      <c r="E128" s="26">
        <v>13.0</v>
      </c>
      <c r="F128" s="26" t="s">
        <v>199</v>
      </c>
      <c r="G128" s="26" t="s">
        <v>154</v>
      </c>
      <c r="H128" s="26">
        <v>5.0</v>
      </c>
      <c r="I128" s="26">
        <v>4.0</v>
      </c>
      <c r="J128" s="26">
        <v>581.0</v>
      </c>
      <c r="K128" s="47" t="s">
        <v>1055</v>
      </c>
      <c r="L128" s="47" t="s">
        <v>1056</v>
      </c>
      <c r="M128" s="26">
        <v>55.0</v>
      </c>
      <c r="N128" s="26" t="s">
        <v>19</v>
      </c>
      <c r="O128" s="26" t="s">
        <v>50</v>
      </c>
      <c r="P128" s="28">
        <v>0.6104166666666667</v>
      </c>
      <c r="Q128" s="51" t="s">
        <v>287</v>
      </c>
      <c r="R128" s="29" t="s">
        <v>194</v>
      </c>
      <c r="S128" s="26" t="s">
        <v>197</v>
      </c>
      <c r="T128" s="30" t="s">
        <v>176</v>
      </c>
      <c r="U128" s="30" t="s">
        <v>199</v>
      </c>
      <c r="V128" s="30" t="s">
        <v>199</v>
      </c>
      <c r="W128" s="30" t="s">
        <v>199</v>
      </c>
      <c r="X128" s="30" t="s">
        <v>199</v>
      </c>
      <c r="Y128" s="26">
        <v>0.0</v>
      </c>
      <c r="Z128" s="30">
        <v>0.0</v>
      </c>
      <c r="AA128" s="30" t="s">
        <v>199</v>
      </c>
      <c r="AB128" s="30" t="s">
        <v>199</v>
      </c>
      <c r="AC128" s="30" t="s">
        <v>199</v>
      </c>
      <c r="AD128" s="30" t="s">
        <v>199</v>
      </c>
      <c r="AE128" s="30" t="s">
        <v>199</v>
      </c>
      <c r="AF128" s="30" t="s">
        <v>199</v>
      </c>
      <c r="AG128" s="30" t="s">
        <v>199</v>
      </c>
      <c r="AH128" s="26">
        <v>0.0</v>
      </c>
      <c r="AI128" s="30" t="s">
        <v>199</v>
      </c>
      <c r="AJ128" s="30">
        <v>0.0</v>
      </c>
      <c r="AK128" s="32" t="s">
        <v>1108</v>
      </c>
      <c r="AL128" s="25"/>
      <c r="AM128" s="25"/>
      <c r="AN128" s="25"/>
      <c r="AO128" s="25"/>
      <c r="AP128" s="25"/>
    </row>
    <row r="129" ht="15.75" customHeight="1">
      <c r="A129" s="16" t="s">
        <v>1053</v>
      </c>
      <c r="B129" s="16">
        <v>2021.0</v>
      </c>
      <c r="C129" s="16" t="s">
        <v>925</v>
      </c>
      <c r="D129" s="16">
        <v>1.0</v>
      </c>
      <c r="E129" s="16">
        <v>14.0</v>
      </c>
      <c r="F129" s="16" t="s">
        <v>199</v>
      </c>
      <c r="G129" s="16" t="s">
        <v>154</v>
      </c>
      <c r="H129" s="16">
        <v>5.0</v>
      </c>
      <c r="I129" s="16">
        <v>4.0</v>
      </c>
      <c r="J129" s="16">
        <v>581.0</v>
      </c>
      <c r="K129" s="49" t="s">
        <v>1055</v>
      </c>
      <c r="L129" s="49" t="s">
        <v>1056</v>
      </c>
      <c r="M129" s="16">
        <v>55.0</v>
      </c>
      <c r="N129" s="16" t="s">
        <v>19</v>
      </c>
      <c r="O129" s="16" t="s">
        <v>50</v>
      </c>
      <c r="P129" s="21">
        <v>0.6104166666666667</v>
      </c>
      <c r="Q129" s="52" t="s">
        <v>9</v>
      </c>
      <c r="R129" s="22" t="s">
        <v>666</v>
      </c>
      <c r="S129" s="16" t="s">
        <v>668</v>
      </c>
      <c r="T129" s="23" t="s">
        <v>176</v>
      </c>
      <c r="U129" s="23" t="s">
        <v>199</v>
      </c>
      <c r="V129" s="23" t="s">
        <v>199</v>
      </c>
      <c r="W129" s="23" t="s">
        <v>199</v>
      </c>
      <c r="X129" s="23" t="s">
        <v>199</v>
      </c>
      <c r="Y129" s="16">
        <v>0.0</v>
      </c>
      <c r="Z129" s="23">
        <v>0.0</v>
      </c>
      <c r="AA129" s="23" t="s">
        <v>199</v>
      </c>
      <c r="AB129" s="23" t="s">
        <v>199</v>
      </c>
      <c r="AC129" s="23" t="s">
        <v>199</v>
      </c>
      <c r="AD129" s="23" t="s">
        <v>199</v>
      </c>
      <c r="AE129" s="23" t="s">
        <v>199</v>
      </c>
      <c r="AF129" s="23" t="s">
        <v>199</v>
      </c>
      <c r="AG129" s="23" t="s">
        <v>199</v>
      </c>
      <c r="AH129" s="16">
        <v>0.0</v>
      </c>
      <c r="AI129" s="23" t="s">
        <v>199</v>
      </c>
      <c r="AJ129" s="23">
        <v>0.0</v>
      </c>
      <c r="AK129" s="24" t="s">
        <v>1109</v>
      </c>
      <c r="AL129" s="25"/>
      <c r="AM129" s="25"/>
      <c r="AN129" s="25"/>
      <c r="AO129" s="25"/>
      <c r="AP129" s="25"/>
    </row>
    <row r="130" ht="15.75" customHeight="1">
      <c r="A130" s="26" t="s">
        <v>1053</v>
      </c>
      <c r="B130" s="26">
        <v>2021.0</v>
      </c>
      <c r="C130" s="26" t="s">
        <v>925</v>
      </c>
      <c r="D130" s="26">
        <v>1.0</v>
      </c>
      <c r="E130" s="26">
        <v>15.0</v>
      </c>
      <c r="F130" s="26" t="s">
        <v>1110</v>
      </c>
      <c r="G130" s="26" t="s">
        <v>154</v>
      </c>
      <c r="H130" s="26">
        <v>3.0</v>
      </c>
      <c r="I130" s="26">
        <v>5.0</v>
      </c>
      <c r="J130" s="26">
        <v>544.0</v>
      </c>
      <c r="K130" s="47" t="s">
        <v>1104</v>
      </c>
      <c r="L130" s="47" t="s">
        <v>1105</v>
      </c>
      <c r="M130" s="26">
        <v>56.0</v>
      </c>
      <c r="N130" s="26" t="s">
        <v>19</v>
      </c>
      <c r="O130" s="26" t="s">
        <v>50</v>
      </c>
      <c r="P130" s="28">
        <v>0.6486111111111111</v>
      </c>
      <c r="Q130" s="51" t="s">
        <v>287</v>
      </c>
      <c r="R130" s="29" t="s">
        <v>666</v>
      </c>
      <c r="S130" s="26" t="s">
        <v>668</v>
      </c>
      <c r="T130" s="26" t="s">
        <v>221</v>
      </c>
      <c r="U130" s="26">
        <v>275.0</v>
      </c>
      <c r="V130" s="26">
        <v>224.0</v>
      </c>
      <c r="W130" s="26">
        <v>200.0</v>
      </c>
      <c r="X130" s="30" t="s">
        <v>199</v>
      </c>
      <c r="Y130" s="26">
        <v>1.0</v>
      </c>
      <c r="Z130" s="30">
        <v>0.0</v>
      </c>
      <c r="AA130" s="26" t="s">
        <v>1111</v>
      </c>
      <c r="AB130" s="30" t="s">
        <v>199</v>
      </c>
      <c r="AC130" s="30" t="s">
        <v>199</v>
      </c>
      <c r="AD130" s="30" t="s">
        <v>199</v>
      </c>
      <c r="AE130" s="26" t="s">
        <v>1112</v>
      </c>
      <c r="AF130" s="26">
        <v>220671.0</v>
      </c>
      <c r="AG130" s="26" t="s">
        <v>1113</v>
      </c>
      <c r="AH130" s="26">
        <v>0.0</v>
      </c>
      <c r="AI130" s="30" t="s">
        <v>199</v>
      </c>
      <c r="AJ130" s="30">
        <v>0.0</v>
      </c>
      <c r="AK130" s="32" t="s">
        <v>1114</v>
      </c>
      <c r="AL130" s="25"/>
      <c r="AM130" s="25"/>
      <c r="AN130" s="25"/>
      <c r="AO130" s="25"/>
      <c r="AP130" s="25"/>
    </row>
    <row r="131" ht="15.75" customHeight="1">
      <c r="A131" s="16" t="s">
        <v>1053</v>
      </c>
      <c r="B131" s="16">
        <v>2021.0</v>
      </c>
      <c r="C131" s="16" t="s">
        <v>925</v>
      </c>
      <c r="D131" s="16">
        <v>1.0</v>
      </c>
      <c r="E131" s="16">
        <v>16.0</v>
      </c>
      <c r="F131" s="16" t="s">
        <v>199</v>
      </c>
      <c r="G131" s="16" t="s">
        <v>154</v>
      </c>
      <c r="H131" s="16">
        <v>5.0</v>
      </c>
      <c r="I131" s="16">
        <v>5.0</v>
      </c>
      <c r="J131" s="16">
        <v>581.0</v>
      </c>
      <c r="K131" s="49" t="s">
        <v>1055</v>
      </c>
      <c r="L131" s="49" t="s">
        <v>1056</v>
      </c>
      <c r="M131" s="16">
        <v>55.0</v>
      </c>
      <c r="N131" s="16" t="s">
        <v>19</v>
      </c>
      <c r="O131" s="16" t="s">
        <v>50</v>
      </c>
      <c r="P131" s="21">
        <v>0.6986111111111111</v>
      </c>
      <c r="Q131" s="52" t="s">
        <v>309</v>
      </c>
      <c r="R131" s="22" t="s">
        <v>194</v>
      </c>
      <c r="S131" s="16" t="s">
        <v>197</v>
      </c>
      <c r="T131" s="23" t="s">
        <v>176</v>
      </c>
      <c r="U131" s="23" t="s">
        <v>199</v>
      </c>
      <c r="V131" s="23" t="s">
        <v>199</v>
      </c>
      <c r="W131" s="23" t="s">
        <v>199</v>
      </c>
      <c r="X131" s="23" t="s">
        <v>199</v>
      </c>
      <c r="Y131" s="16">
        <v>0.0</v>
      </c>
      <c r="Z131" s="23">
        <v>0.0</v>
      </c>
      <c r="AA131" s="23" t="s">
        <v>199</v>
      </c>
      <c r="AB131" s="23" t="s">
        <v>199</v>
      </c>
      <c r="AC131" s="23" t="s">
        <v>199</v>
      </c>
      <c r="AD131" s="23" t="s">
        <v>199</v>
      </c>
      <c r="AE131" s="23" t="s">
        <v>199</v>
      </c>
      <c r="AF131" s="23" t="s">
        <v>199</v>
      </c>
      <c r="AG131" s="23" t="s">
        <v>199</v>
      </c>
      <c r="AH131" s="16">
        <v>0.0</v>
      </c>
      <c r="AI131" s="23" t="s">
        <v>199</v>
      </c>
      <c r="AJ131" s="23">
        <v>0.0</v>
      </c>
      <c r="AK131" s="24"/>
      <c r="AL131" s="25"/>
      <c r="AM131" s="25"/>
      <c r="AN131" s="25"/>
      <c r="AO131" s="25"/>
      <c r="AP131" s="25"/>
    </row>
    <row r="132" ht="15.75" customHeight="1">
      <c r="A132" s="26" t="s">
        <v>1053</v>
      </c>
      <c r="B132" s="26">
        <v>2021.0</v>
      </c>
      <c r="C132" s="26" t="s">
        <v>925</v>
      </c>
      <c r="D132" s="26">
        <v>2.0</v>
      </c>
      <c r="E132" s="26">
        <v>17.0</v>
      </c>
      <c r="F132" s="26" t="s">
        <v>199</v>
      </c>
      <c r="G132" s="26" t="s">
        <v>154</v>
      </c>
      <c r="H132" s="26">
        <v>1.0</v>
      </c>
      <c r="I132" s="26">
        <v>1.0</v>
      </c>
      <c r="J132" s="26">
        <v>39.0</v>
      </c>
      <c r="K132" s="47" t="s">
        <v>1119</v>
      </c>
      <c r="L132" s="47" t="s">
        <v>1120</v>
      </c>
      <c r="M132" s="26">
        <v>57.0</v>
      </c>
      <c r="N132" s="26" t="s">
        <v>19</v>
      </c>
      <c r="O132" s="26" t="s">
        <v>50</v>
      </c>
      <c r="P132" s="28">
        <v>0.3888888888888889</v>
      </c>
      <c r="Q132" s="51" t="s">
        <v>287</v>
      </c>
      <c r="R132" s="26" t="s">
        <v>288</v>
      </c>
      <c r="S132" s="26" t="s">
        <v>732</v>
      </c>
      <c r="T132" s="26" t="s">
        <v>198</v>
      </c>
      <c r="U132" s="30" t="s">
        <v>199</v>
      </c>
      <c r="V132" s="30" t="s">
        <v>199</v>
      </c>
      <c r="W132" s="30" t="s">
        <v>199</v>
      </c>
      <c r="X132" s="30" t="s">
        <v>199</v>
      </c>
      <c r="Y132" s="26">
        <v>0.0</v>
      </c>
      <c r="Z132" s="30">
        <v>0.0</v>
      </c>
      <c r="AA132" s="30" t="s">
        <v>199</v>
      </c>
      <c r="AB132" s="30" t="s">
        <v>199</v>
      </c>
      <c r="AC132" s="30" t="s">
        <v>199</v>
      </c>
      <c r="AD132" s="30" t="s">
        <v>199</v>
      </c>
      <c r="AE132" s="30" t="s">
        <v>199</v>
      </c>
      <c r="AF132" s="30" t="s">
        <v>199</v>
      </c>
      <c r="AG132" s="30" t="s">
        <v>199</v>
      </c>
      <c r="AH132" s="26">
        <v>0.0</v>
      </c>
      <c r="AI132" s="30" t="s">
        <v>199</v>
      </c>
      <c r="AJ132" s="30">
        <v>0.0</v>
      </c>
      <c r="AK132" s="32"/>
      <c r="AL132" s="25"/>
      <c r="AM132" s="25"/>
      <c r="AN132" s="25"/>
      <c r="AO132" s="25"/>
      <c r="AP132" s="25"/>
    </row>
    <row r="133" ht="15.75" customHeight="1">
      <c r="A133" s="16" t="s">
        <v>1053</v>
      </c>
      <c r="B133" s="16">
        <v>2021.0</v>
      </c>
      <c r="C133" s="16" t="s">
        <v>925</v>
      </c>
      <c r="D133" s="16">
        <v>2.0</v>
      </c>
      <c r="E133" s="16">
        <v>18.0</v>
      </c>
      <c r="F133" s="16" t="s">
        <v>126</v>
      </c>
      <c r="G133" s="16" t="s">
        <v>154</v>
      </c>
      <c r="H133" s="16">
        <v>7.0</v>
      </c>
      <c r="I133" s="16">
        <v>1.0</v>
      </c>
      <c r="J133" s="16">
        <v>592.0</v>
      </c>
      <c r="K133" s="49" t="s">
        <v>1121</v>
      </c>
      <c r="L133" s="49" t="s">
        <v>1122</v>
      </c>
      <c r="M133" s="16">
        <v>54.0</v>
      </c>
      <c r="N133" s="16" t="s">
        <v>19</v>
      </c>
      <c r="O133" s="16" t="s">
        <v>50</v>
      </c>
      <c r="P133" s="21">
        <v>0.4625</v>
      </c>
      <c r="Q133" s="52" t="s">
        <v>287</v>
      </c>
      <c r="R133" s="22" t="s">
        <v>666</v>
      </c>
      <c r="S133" s="16" t="s">
        <v>668</v>
      </c>
      <c r="T133" s="16" t="s">
        <v>198</v>
      </c>
      <c r="U133" s="16">
        <v>306.0</v>
      </c>
      <c r="V133" s="16">
        <v>253.0</v>
      </c>
      <c r="W133" s="16">
        <v>230.0</v>
      </c>
      <c r="X133" s="23" t="s">
        <v>199</v>
      </c>
      <c r="Y133" s="16">
        <v>1.0</v>
      </c>
      <c r="Z133" s="23">
        <v>0.0</v>
      </c>
      <c r="AA133" s="16" t="s">
        <v>1123</v>
      </c>
      <c r="AB133" s="23" t="s">
        <v>199</v>
      </c>
      <c r="AC133" s="23" t="s">
        <v>199</v>
      </c>
      <c r="AD133" s="23" t="s">
        <v>199</v>
      </c>
      <c r="AE133" s="16" t="s">
        <v>1124</v>
      </c>
      <c r="AF133" s="16">
        <v>220672.0</v>
      </c>
      <c r="AG133" s="23" t="s">
        <v>199</v>
      </c>
      <c r="AH133" s="16">
        <v>0.0</v>
      </c>
      <c r="AI133" s="23" t="s">
        <v>199</v>
      </c>
      <c r="AJ133" s="23">
        <v>0.0</v>
      </c>
      <c r="AK133" s="24"/>
      <c r="AL133" s="25"/>
      <c r="AM133" s="25"/>
      <c r="AN133" s="25"/>
      <c r="AO133" s="25"/>
      <c r="AP133" s="25"/>
    </row>
    <row r="134" ht="15.75" customHeight="1">
      <c r="A134" s="26" t="s">
        <v>1053</v>
      </c>
      <c r="B134" s="26">
        <v>2021.0</v>
      </c>
      <c r="C134" s="26" t="s">
        <v>925</v>
      </c>
      <c r="D134" s="26">
        <v>2.0</v>
      </c>
      <c r="E134" s="26">
        <v>19.0</v>
      </c>
      <c r="F134" s="26" t="s">
        <v>141</v>
      </c>
      <c r="G134" s="26" t="s">
        <v>154</v>
      </c>
      <c r="H134" s="26">
        <v>8.0</v>
      </c>
      <c r="I134" s="26">
        <v>1.0</v>
      </c>
      <c r="J134" s="26">
        <v>593.0</v>
      </c>
      <c r="K134" s="47" t="s">
        <v>1125</v>
      </c>
      <c r="L134" s="47" t="s">
        <v>1126</v>
      </c>
      <c r="M134" s="26">
        <v>57.0</v>
      </c>
      <c r="N134" s="26" t="s">
        <v>19</v>
      </c>
      <c r="O134" s="26" t="s">
        <v>50</v>
      </c>
      <c r="P134" s="28">
        <v>0.46458333333333335</v>
      </c>
      <c r="Q134" s="51" t="s">
        <v>287</v>
      </c>
      <c r="R134" s="29" t="s">
        <v>666</v>
      </c>
      <c r="S134" s="26" t="s">
        <v>668</v>
      </c>
      <c r="T134" s="26" t="s">
        <v>221</v>
      </c>
      <c r="U134" s="26">
        <v>307.0</v>
      </c>
      <c r="V134" s="26">
        <v>255.0</v>
      </c>
      <c r="W134" s="26">
        <v>234.0</v>
      </c>
      <c r="X134" s="26">
        <v>138.0</v>
      </c>
      <c r="Y134" s="26">
        <v>1.0</v>
      </c>
      <c r="Z134" s="30">
        <v>1.0</v>
      </c>
      <c r="AA134" s="26" t="s">
        <v>1127</v>
      </c>
      <c r="AB134" s="30" t="s">
        <v>199</v>
      </c>
      <c r="AC134" s="30" t="s">
        <v>199</v>
      </c>
      <c r="AD134" s="30" t="s">
        <v>199</v>
      </c>
      <c r="AE134" s="26" t="s">
        <v>1128</v>
      </c>
      <c r="AF134" s="26">
        <v>220668.0</v>
      </c>
      <c r="AG134" s="26" t="s">
        <v>1129</v>
      </c>
      <c r="AH134" s="26">
        <v>0.0</v>
      </c>
      <c r="AI134" s="30" t="s">
        <v>199</v>
      </c>
      <c r="AJ134" s="30">
        <v>0.0</v>
      </c>
      <c r="AK134" s="55" t="s">
        <v>1130</v>
      </c>
      <c r="AL134" s="25"/>
      <c r="AM134" s="25"/>
      <c r="AN134" s="25"/>
      <c r="AO134" s="25"/>
      <c r="AP134" s="25"/>
    </row>
    <row r="135" ht="15.75" customHeight="1">
      <c r="A135" s="16" t="s">
        <v>1053</v>
      </c>
      <c r="B135" s="16">
        <v>2021.0</v>
      </c>
      <c r="C135" s="16" t="s">
        <v>925</v>
      </c>
      <c r="D135" s="16">
        <v>2.0</v>
      </c>
      <c r="E135" s="16">
        <v>20.0</v>
      </c>
      <c r="F135" s="16" t="s">
        <v>199</v>
      </c>
      <c r="G135" s="16" t="s">
        <v>154</v>
      </c>
      <c r="H135" s="16">
        <v>1.0</v>
      </c>
      <c r="I135" s="16">
        <v>2.0</v>
      </c>
      <c r="J135" s="16">
        <v>39.0</v>
      </c>
      <c r="K135" s="49" t="s">
        <v>1119</v>
      </c>
      <c r="L135" s="49" t="s">
        <v>1120</v>
      </c>
      <c r="M135" s="16">
        <v>57.0</v>
      </c>
      <c r="N135" s="16" t="s">
        <v>19</v>
      </c>
      <c r="O135" s="16" t="s">
        <v>50</v>
      </c>
      <c r="P135" s="21">
        <v>0.5201388888888889</v>
      </c>
      <c r="Q135" s="52" t="s">
        <v>287</v>
      </c>
      <c r="R135" s="22" t="s">
        <v>666</v>
      </c>
      <c r="S135" s="16" t="s">
        <v>668</v>
      </c>
      <c r="T135" s="16" t="s">
        <v>221</v>
      </c>
      <c r="U135" s="16">
        <v>236.0</v>
      </c>
      <c r="V135" s="16">
        <v>189.0</v>
      </c>
      <c r="W135" s="16">
        <v>168.0</v>
      </c>
      <c r="X135" s="23" t="s">
        <v>199</v>
      </c>
      <c r="Y135" s="16">
        <v>1.0</v>
      </c>
      <c r="Z135" s="23">
        <v>0.0</v>
      </c>
      <c r="AA135" s="16" t="s">
        <v>1131</v>
      </c>
      <c r="AB135" s="48" t="s">
        <v>1132</v>
      </c>
      <c r="AC135" s="23" t="s">
        <v>199</v>
      </c>
      <c r="AD135" s="23" t="s">
        <v>199</v>
      </c>
      <c r="AE135" s="23" t="s">
        <v>199</v>
      </c>
      <c r="AF135" s="23" t="s">
        <v>199</v>
      </c>
      <c r="AG135" s="23" t="s">
        <v>199</v>
      </c>
      <c r="AH135" s="16">
        <v>0.0</v>
      </c>
      <c r="AI135" s="23" t="s">
        <v>199</v>
      </c>
      <c r="AJ135" s="23">
        <v>0.0</v>
      </c>
      <c r="AK135" s="24"/>
      <c r="AL135" s="25"/>
      <c r="AM135" s="25"/>
      <c r="AN135" s="25"/>
      <c r="AO135" s="25"/>
      <c r="AP135" s="25"/>
    </row>
    <row r="136" ht="15.75" customHeight="1">
      <c r="A136" s="26" t="s">
        <v>1053</v>
      </c>
      <c r="B136" s="26">
        <v>2021.0</v>
      </c>
      <c r="C136" s="26" t="s">
        <v>925</v>
      </c>
      <c r="D136" s="26">
        <v>2.0</v>
      </c>
      <c r="E136" s="26">
        <v>21.0</v>
      </c>
      <c r="F136" s="26" t="s">
        <v>199</v>
      </c>
      <c r="G136" s="26" t="s">
        <v>154</v>
      </c>
      <c r="H136" s="26">
        <v>7.0</v>
      </c>
      <c r="I136" s="26">
        <v>3.0</v>
      </c>
      <c r="J136" s="26">
        <v>592.0</v>
      </c>
      <c r="K136" s="47" t="s">
        <v>1121</v>
      </c>
      <c r="L136" s="47" t="s">
        <v>1122</v>
      </c>
      <c r="M136" s="26">
        <v>54.0</v>
      </c>
      <c r="N136" s="26" t="s">
        <v>19</v>
      </c>
      <c r="O136" s="26" t="s">
        <v>50</v>
      </c>
      <c r="P136" s="28">
        <v>0.6236111111111111</v>
      </c>
      <c r="Q136" s="51" t="s">
        <v>267</v>
      </c>
      <c r="R136" s="29" t="s">
        <v>194</v>
      </c>
      <c r="S136" s="26" t="s">
        <v>197</v>
      </c>
      <c r="T136" s="26" t="s">
        <v>221</v>
      </c>
      <c r="U136" s="26">
        <v>187.0</v>
      </c>
      <c r="V136" s="26">
        <v>155.0</v>
      </c>
      <c r="W136" s="26">
        <v>140.0</v>
      </c>
      <c r="X136" s="30" t="s">
        <v>199</v>
      </c>
      <c r="Y136" s="26">
        <v>1.0</v>
      </c>
      <c r="Z136" s="30">
        <v>0.0</v>
      </c>
      <c r="AA136" s="26" t="s">
        <v>1133</v>
      </c>
      <c r="AB136" s="30" t="s">
        <v>199</v>
      </c>
      <c r="AC136" s="30" t="s">
        <v>199</v>
      </c>
      <c r="AD136" s="30" t="s">
        <v>199</v>
      </c>
      <c r="AE136" s="30" t="s">
        <v>199</v>
      </c>
      <c r="AF136" s="30" t="s">
        <v>199</v>
      </c>
      <c r="AG136" s="30" t="s">
        <v>199</v>
      </c>
      <c r="AH136" s="26">
        <v>0.0</v>
      </c>
      <c r="AI136" s="30" t="s">
        <v>199</v>
      </c>
      <c r="AJ136" s="30">
        <v>0.0</v>
      </c>
      <c r="AK136" s="32"/>
      <c r="AL136" s="25"/>
      <c r="AM136" s="25"/>
      <c r="AN136" s="25"/>
      <c r="AO136" s="25"/>
      <c r="AP136" s="25"/>
    </row>
    <row r="137" ht="15.75" customHeight="1">
      <c r="A137" s="16" t="s">
        <v>1053</v>
      </c>
      <c r="B137" s="16">
        <v>2021.0</v>
      </c>
      <c r="C137" s="16" t="s">
        <v>925</v>
      </c>
      <c r="D137" s="16">
        <v>2.0</v>
      </c>
      <c r="E137" s="16">
        <v>22.0</v>
      </c>
      <c r="F137" s="16" t="s">
        <v>199</v>
      </c>
      <c r="G137" s="16" t="s">
        <v>154</v>
      </c>
      <c r="H137" s="16">
        <v>8.0</v>
      </c>
      <c r="I137" s="16">
        <v>3.0</v>
      </c>
      <c r="J137" s="16">
        <v>593.0</v>
      </c>
      <c r="K137" s="49" t="s">
        <v>1125</v>
      </c>
      <c r="L137" s="49" t="s">
        <v>1126</v>
      </c>
      <c r="M137" s="16">
        <v>57.0</v>
      </c>
      <c r="N137" s="16" t="s">
        <v>19</v>
      </c>
      <c r="O137" s="16" t="s">
        <v>50</v>
      </c>
      <c r="P137" s="21">
        <v>0.6326388888888889</v>
      </c>
      <c r="Q137" s="52" t="s">
        <v>267</v>
      </c>
      <c r="R137" s="22" t="s">
        <v>194</v>
      </c>
      <c r="S137" s="16" t="s">
        <v>197</v>
      </c>
      <c r="T137" s="16" t="s">
        <v>221</v>
      </c>
      <c r="U137" s="16">
        <v>120.0</v>
      </c>
      <c r="V137" s="16">
        <v>96.0</v>
      </c>
      <c r="W137" s="16">
        <v>88.0</v>
      </c>
      <c r="X137" s="23" t="s">
        <v>199</v>
      </c>
      <c r="Y137" s="16">
        <v>1.0</v>
      </c>
      <c r="Z137" s="23">
        <v>0.0</v>
      </c>
      <c r="AA137" s="16" t="s">
        <v>1134</v>
      </c>
      <c r="AB137" s="48" t="s">
        <v>1135</v>
      </c>
      <c r="AC137" s="23" t="s">
        <v>199</v>
      </c>
      <c r="AD137" s="23" t="s">
        <v>199</v>
      </c>
      <c r="AE137" s="23" t="s">
        <v>199</v>
      </c>
      <c r="AF137" s="23" t="s">
        <v>199</v>
      </c>
      <c r="AG137" s="23" t="s">
        <v>199</v>
      </c>
      <c r="AH137" s="16">
        <v>1.0</v>
      </c>
      <c r="AI137" s="23" t="s">
        <v>199</v>
      </c>
      <c r="AJ137" s="23">
        <v>0.0</v>
      </c>
      <c r="AK137" s="24"/>
      <c r="AL137" s="25"/>
      <c r="AM137" s="25"/>
      <c r="AN137" s="25"/>
      <c r="AO137" s="25"/>
      <c r="AP137" s="25"/>
    </row>
    <row r="138" ht="15.75" customHeight="1">
      <c r="A138" s="26" t="s">
        <v>1053</v>
      </c>
      <c r="B138" s="26">
        <v>2021.0</v>
      </c>
      <c r="C138" s="26" t="s">
        <v>925</v>
      </c>
      <c r="D138" s="26">
        <v>2.0</v>
      </c>
      <c r="E138" s="26">
        <v>23.0</v>
      </c>
      <c r="F138" s="26" t="s">
        <v>199</v>
      </c>
      <c r="G138" s="26" t="s">
        <v>154</v>
      </c>
      <c r="H138" s="26">
        <v>8.0</v>
      </c>
      <c r="I138" s="26">
        <v>4.0</v>
      </c>
      <c r="J138" s="26">
        <v>593.0</v>
      </c>
      <c r="K138" s="47" t="s">
        <v>1125</v>
      </c>
      <c r="L138" s="47" t="s">
        <v>1126</v>
      </c>
      <c r="M138" s="26">
        <v>57.0</v>
      </c>
      <c r="N138" s="26" t="s">
        <v>19</v>
      </c>
      <c r="O138" s="26" t="s">
        <v>50</v>
      </c>
      <c r="P138" s="28">
        <v>0.6715277777777777</v>
      </c>
      <c r="Q138" s="51" t="s">
        <v>309</v>
      </c>
      <c r="R138" s="29" t="s">
        <v>194</v>
      </c>
      <c r="S138" s="26" t="s">
        <v>197</v>
      </c>
      <c r="T138" s="26" t="s">
        <v>221</v>
      </c>
      <c r="U138" s="26">
        <v>121.0</v>
      </c>
      <c r="V138" s="26">
        <v>98.0</v>
      </c>
      <c r="W138" s="26">
        <v>87.0</v>
      </c>
      <c r="X138" s="30" t="s">
        <v>199</v>
      </c>
      <c r="Y138" s="26">
        <v>1.0</v>
      </c>
      <c r="Z138" s="30">
        <v>0.0</v>
      </c>
      <c r="AA138" s="26" t="s">
        <v>1136</v>
      </c>
      <c r="AB138" s="46" t="s">
        <v>1137</v>
      </c>
      <c r="AC138" s="30" t="s">
        <v>199</v>
      </c>
      <c r="AD138" s="30" t="s">
        <v>199</v>
      </c>
      <c r="AE138" s="30" t="s">
        <v>199</v>
      </c>
      <c r="AF138" s="30" t="s">
        <v>199</v>
      </c>
      <c r="AG138" s="30" t="s">
        <v>199</v>
      </c>
      <c r="AH138" s="26">
        <v>1.0</v>
      </c>
      <c r="AI138" s="30" t="s">
        <v>199</v>
      </c>
      <c r="AJ138" s="30">
        <v>0.0</v>
      </c>
      <c r="AK138" s="32"/>
      <c r="AL138" s="25"/>
      <c r="AM138" s="25"/>
      <c r="AN138" s="25"/>
      <c r="AO138" s="25"/>
      <c r="AP138" s="25"/>
    </row>
    <row r="139" ht="15.75" customHeight="1">
      <c r="A139" s="16" t="s">
        <v>1053</v>
      </c>
      <c r="B139" s="16">
        <v>2021.0</v>
      </c>
      <c r="C139" s="16" t="s">
        <v>925</v>
      </c>
      <c r="D139" s="16">
        <v>3.0</v>
      </c>
      <c r="E139" s="16">
        <v>24.0</v>
      </c>
      <c r="F139" s="16" t="s">
        <v>199</v>
      </c>
      <c r="G139" s="16" t="s">
        <v>154</v>
      </c>
      <c r="H139" s="16">
        <v>2.0</v>
      </c>
      <c r="I139" s="16">
        <v>1.0</v>
      </c>
      <c r="J139" s="16">
        <v>596.0</v>
      </c>
      <c r="K139" s="49" t="s">
        <v>1138</v>
      </c>
      <c r="L139" s="49" t="s">
        <v>1139</v>
      </c>
      <c r="M139" s="16">
        <v>48.0</v>
      </c>
      <c r="N139" s="16" t="s">
        <v>19</v>
      </c>
      <c r="O139" s="16" t="s">
        <v>68</v>
      </c>
      <c r="P139" s="21">
        <v>0.3680555555555556</v>
      </c>
      <c r="Q139" s="52" t="s">
        <v>287</v>
      </c>
      <c r="R139" s="22" t="s">
        <v>666</v>
      </c>
      <c r="S139" s="16" t="s">
        <v>668</v>
      </c>
      <c r="T139" s="23" t="s">
        <v>176</v>
      </c>
      <c r="U139" s="23" t="s">
        <v>199</v>
      </c>
      <c r="V139" s="23" t="s">
        <v>199</v>
      </c>
      <c r="W139" s="23" t="s">
        <v>199</v>
      </c>
      <c r="X139" s="23" t="s">
        <v>199</v>
      </c>
      <c r="Y139" s="16">
        <v>0.0</v>
      </c>
      <c r="Z139" s="23">
        <v>0.0</v>
      </c>
      <c r="AA139" s="23" t="s">
        <v>199</v>
      </c>
      <c r="AB139" s="23" t="s">
        <v>199</v>
      </c>
      <c r="AC139" s="23" t="s">
        <v>199</v>
      </c>
      <c r="AD139" s="23" t="s">
        <v>199</v>
      </c>
      <c r="AE139" s="23" t="s">
        <v>199</v>
      </c>
      <c r="AF139" s="23" t="s">
        <v>199</v>
      </c>
      <c r="AG139" s="23" t="s">
        <v>199</v>
      </c>
      <c r="AH139" s="16">
        <v>0.0</v>
      </c>
      <c r="AI139" s="23" t="s">
        <v>199</v>
      </c>
      <c r="AJ139" s="23">
        <v>0.0</v>
      </c>
      <c r="AK139" s="24" t="s">
        <v>1140</v>
      </c>
      <c r="AL139" s="25"/>
      <c r="AM139" s="25"/>
      <c r="AN139" s="25"/>
      <c r="AO139" s="25"/>
      <c r="AP139" s="25"/>
    </row>
    <row r="140" ht="15.75" customHeight="1">
      <c r="A140" s="26" t="s">
        <v>1053</v>
      </c>
      <c r="B140" s="26">
        <v>2021.0</v>
      </c>
      <c r="C140" s="26" t="s">
        <v>925</v>
      </c>
      <c r="D140" s="26">
        <v>3.0</v>
      </c>
      <c r="E140" s="26">
        <v>25.0</v>
      </c>
      <c r="F140" s="26" t="s">
        <v>199</v>
      </c>
      <c r="G140" s="26" t="s">
        <v>154</v>
      </c>
      <c r="H140" s="26">
        <v>1.0</v>
      </c>
      <c r="I140" s="26">
        <v>1.0</v>
      </c>
      <c r="J140" s="26">
        <v>595.0</v>
      </c>
      <c r="K140" s="47" t="s">
        <v>1141</v>
      </c>
      <c r="L140" s="47" t="s">
        <v>1142</v>
      </c>
      <c r="M140" s="26">
        <v>49.0</v>
      </c>
      <c r="N140" s="26" t="s">
        <v>19</v>
      </c>
      <c r="O140" s="26" t="s">
        <v>68</v>
      </c>
      <c r="P140" s="28">
        <v>0.41944444444444445</v>
      </c>
      <c r="Q140" s="51" t="s">
        <v>287</v>
      </c>
      <c r="R140" s="29" t="s">
        <v>194</v>
      </c>
      <c r="S140" s="26" t="s">
        <v>197</v>
      </c>
      <c r="T140" s="26" t="s">
        <v>221</v>
      </c>
      <c r="U140" s="26">
        <v>148.0</v>
      </c>
      <c r="V140" s="26">
        <v>120.0</v>
      </c>
      <c r="W140" s="26">
        <v>107.0</v>
      </c>
      <c r="X140" s="30" t="s">
        <v>199</v>
      </c>
      <c r="Y140" s="26">
        <v>1.0</v>
      </c>
      <c r="Z140" s="30">
        <v>0.0</v>
      </c>
      <c r="AA140" s="26" t="s">
        <v>1143</v>
      </c>
      <c r="AB140" s="46" t="s">
        <v>1144</v>
      </c>
      <c r="AC140" s="30" t="s">
        <v>199</v>
      </c>
      <c r="AD140" s="30" t="s">
        <v>199</v>
      </c>
      <c r="AE140" s="30" t="s">
        <v>199</v>
      </c>
      <c r="AF140" s="30" t="s">
        <v>199</v>
      </c>
      <c r="AG140" s="30" t="s">
        <v>199</v>
      </c>
      <c r="AH140" s="26">
        <v>1.0</v>
      </c>
      <c r="AI140" s="30" t="s">
        <v>199</v>
      </c>
      <c r="AJ140" s="30">
        <v>0.0</v>
      </c>
      <c r="AK140" s="32" t="s">
        <v>1145</v>
      </c>
      <c r="AL140" s="25"/>
      <c r="AM140" s="25"/>
      <c r="AN140" s="25"/>
      <c r="AO140" s="25"/>
      <c r="AP140" s="25"/>
    </row>
    <row r="141" ht="15.75" customHeight="1">
      <c r="A141" s="16" t="s">
        <v>1053</v>
      </c>
      <c r="B141" s="16">
        <v>2021.0</v>
      </c>
      <c r="C141" s="16" t="s">
        <v>925</v>
      </c>
      <c r="D141" s="16">
        <v>3.0</v>
      </c>
      <c r="E141" s="16">
        <v>26.0</v>
      </c>
      <c r="F141" s="16" t="s">
        <v>199</v>
      </c>
      <c r="G141" s="16" t="s">
        <v>154</v>
      </c>
      <c r="H141" s="16">
        <v>2.0</v>
      </c>
      <c r="I141" s="16">
        <v>2.0</v>
      </c>
      <c r="J141" s="16">
        <v>596.0</v>
      </c>
      <c r="K141" s="49" t="s">
        <v>1138</v>
      </c>
      <c r="L141" s="49" t="s">
        <v>1139</v>
      </c>
      <c r="M141" s="16">
        <v>48.0</v>
      </c>
      <c r="N141" s="16" t="s">
        <v>19</v>
      </c>
      <c r="O141" s="16" t="s">
        <v>68</v>
      </c>
      <c r="P141" s="21">
        <v>0.43125</v>
      </c>
      <c r="Q141" s="52" t="s">
        <v>287</v>
      </c>
      <c r="R141" s="22" t="s">
        <v>666</v>
      </c>
      <c r="S141" s="16" t="s">
        <v>668</v>
      </c>
      <c r="T141" s="16" t="s">
        <v>198</v>
      </c>
      <c r="U141" s="23" t="s">
        <v>199</v>
      </c>
      <c r="V141" s="23" t="s">
        <v>199</v>
      </c>
      <c r="W141" s="23" t="s">
        <v>199</v>
      </c>
      <c r="X141" s="23" t="s">
        <v>199</v>
      </c>
      <c r="Y141" s="16">
        <v>0.0</v>
      </c>
      <c r="Z141" s="23">
        <v>0.0</v>
      </c>
      <c r="AA141" s="23" t="s">
        <v>199</v>
      </c>
      <c r="AB141" s="23" t="s">
        <v>199</v>
      </c>
      <c r="AC141" s="23" t="s">
        <v>199</v>
      </c>
      <c r="AD141" s="23" t="s">
        <v>199</v>
      </c>
      <c r="AE141" s="23" t="s">
        <v>199</v>
      </c>
      <c r="AF141" s="23" t="s">
        <v>199</v>
      </c>
      <c r="AG141" s="23" t="s">
        <v>199</v>
      </c>
      <c r="AH141" s="16">
        <v>0.0</v>
      </c>
      <c r="AI141" s="23" t="s">
        <v>199</v>
      </c>
      <c r="AJ141" s="23">
        <v>0.0</v>
      </c>
      <c r="AK141" s="24" t="s">
        <v>1146</v>
      </c>
      <c r="AL141" s="25"/>
      <c r="AM141" s="25"/>
      <c r="AN141" s="25"/>
      <c r="AO141" s="25"/>
      <c r="AP141" s="25"/>
    </row>
    <row r="142" ht="15.75" customHeight="1">
      <c r="A142" s="26" t="s">
        <v>1053</v>
      </c>
      <c r="B142" s="26">
        <v>2021.0</v>
      </c>
      <c r="C142" s="26" t="s">
        <v>925</v>
      </c>
      <c r="D142" s="26">
        <v>3.0</v>
      </c>
      <c r="E142" s="26">
        <v>27.0</v>
      </c>
      <c r="F142" s="26" t="s">
        <v>199</v>
      </c>
      <c r="G142" s="26" t="s">
        <v>154</v>
      </c>
      <c r="H142" s="26">
        <v>6.0</v>
      </c>
      <c r="I142" s="26">
        <v>1.0</v>
      </c>
      <c r="J142" s="26">
        <v>600.0</v>
      </c>
      <c r="K142" s="47" t="s">
        <v>1147</v>
      </c>
      <c r="L142" s="47" t="s">
        <v>1148</v>
      </c>
      <c r="M142" s="26">
        <v>50.0</v>
      </c>
      <c r="N142" s="26" t="s">
        <v>19</v>
      </c>
      <c r="O142" s="26" t="s">
        <v>68</v>
      </c>
      <c r="P142" s="28">
        <v>0.45</v>
      </c>
      <c r="Q142" s="51" t="s">
        <v>267</v>
      </c>
      <c r="R142" s="29" t="s">
        <v>194</v>
      </c>
      <c r="S142" s="26" t="s">
        <v>197</v>
      </c>
      <c r="T142" s="30" t="s">
        <v>176</v>
      </c>
      <c r="U142" s="30" t="s">
        <v>199</v>
      </c>
      <c r="V142" s="30" t="s">
        <v>199</v>
      </c>
      <c r="W142" s="30" t="s">
        <v>199</v>
      </c>
      <c r="X142" s="30" t="s">
        <v>199</v>
      </c>
      <c r="Y142" s="26">
        <v>0.0</v>
      </c>
      <c r="Z142" s="30">
        <v>0.0</v>
      </c>
      <c r="AA142" s="30" t="s">
        <v>199</v>
      </c>
      <c r="AB142" s="30" t="s">
        <v>199</v>
      </c>
      <c r="AC142" s="30" t="s">
        <v>199</v>
      </c>
      <c r="AD142" s="30" t="s">
        <v>199</v>
      </c>
      <c r="AE142" s="30" t="s">
        <v>199</v>
      </c>
      <c r="AF142" s="30" t="s">
        <v>199</v>
      </c>
      <c r="AG142" s="30" t="s">
        <v>199</v>
      </c>
      <c r="AH142" s="26">
        <v>0.0</v>
      </c>
      <c r="AI142" s="30" t="s">
        <v>199</v>
      </c>
      <c r="AJ142" s="30">
        <v>0.0</v>
      </c>
      <c r="AK142" s="32"/>
      <c r="AL142" s="25"/>
      <c r="AM142" s="25"/>
      <c r="AN142" s="25"/>
      <c r="AO142" s="25"/>
      <c r="AP142" s="25"/>
    </row>
    <row r="143" ht="15.75" customHeight="1">
      <c r="A143" s="16" t="s">
        <v>1053</v>
      </c>
      <c r="B143" s="16">
        <v>2021.0</v>
      </c>
      <c r="C143" s="16" t="s">
        <v>925</v>
      </c>
      <c r="D143" s="16">
        <v>3.0</v>
      </c>
      <c r="E143" s="16">
        <v>28.0</v>
      </c>
      <c r="F143" s="16" t="s">
        <v>199</v>
      </c>
      <c r="G143" s="16" t="s">
        <v>154</v>
      </c>
      <c r="H143" s="16">
        <v>7.0</v>
      </c>
      <c r="I143" s="16">
        <v>1.0</v>
      </c>
      <c r="J143" s="16">
        <v>601.0</v>
      </c>
      <c r="K143" s="49" t="s">
        <v>1149</v>
      </c>
      <c r="L143" s="49" t="s">
        <v>1150</v>
      </c>
      <c r="M143" s="16">
        <v>47.0</v>
      </c>
      <c r="N143" s="16" t="s">
        <v>19</v>
      </c>
      <c r="O143" s="16" t="s">
        <v>68</v>
      </c>
      <c r="P143" s="21">
        <v>0.4534722222222222</v>
      </c>
      <c r="Q143" s="52" t="s">
        <v>309</v>
      </c>
      <c r="R143" s="22" t="s">
        <v>194</v>
      </c>
      <c r="S143" s="16" t="s">
        <v>197</v>
      </c>
      <c r="T143" s="23" t="s">
        <v>176</v>
      </c>
      <c r="U143" s="23" t="s">
        <v>199</v>
      </c>
      <c r="V143" s="23" t="s">
        <v>199</v>
      </c>
      <c r="W143" s="23" t="s">
        <v>199</v>
      </c>
      <c r="X143" s="23" t="s">
        <v>199</v>
      </c>
      <c r="Y143" s="16">
        <v>0.0</v>
      </c>
      <c r="Z143" s="23">
        <v>0.0</v>
      </c>
      <c r="AA143" s="23" t="s">
        <v>199</v>
      </c>
      <c r="AB143" s="23" t="s">
        <v>199</v>
      </c>
      <c r="AC143" s="23" t="s">
        <v>199</v>
      </c>
      <c r="AD143" s="23" t="s">
        <v>199</v>
      </c>
      <c r="AE143" s="23" t="s">
        <v>199</v>
      </c>
      <c r="AF143" s="23" t="s">
        <v>199</v>
      </c>
      <c r="AG143" s="23" t="s">
        <v>199</v>
      </c>
      <c r="AH143" s="16">
        <v>0.0</v>
      </c>
      <c r="AI143" s="23" t="s">
        <v>199</v>
      </c>
      <c r="AJ143" s="23">
        <v>0.0</v>
      </c>
      <c r="AK143" s="24"/>
      <c r="AL143" s="25"/>
      <c r="AM143" s="25"/>
      <c r="AN143" s="25"/>
      <c r="AO143" s="25"/>
      <c r="AP143" s="25"/>
    </row>
    <row r="144" ht="15.75" customHeight="1">
      <c r="A144" s="26" t="s">
        <v>1053</v>
      </c>
      <c r="B144" s="26">
        <v>2021.0</v>
      </c>
      <c r="C144" s="26" t="s">
        <v>925</v>
      </c>
      <c r="D144" s="26">
        <v>3.0</v>
      </c>
      <c r="E144" s="26">
        <v>29.0</v>
      </c>
      <c r="F144" s="26" t="s">
        <v>199</v>
      </c>
      <c r="G144" s="26" t="s">
        <v>154</v>
      </c>
      <c r="H144" s="26">
        <v>8.0</v>
      </c>
      <c r="I144" s="26">
        <v>1.0</v>
      </c>
      <c r="J144" s="26">
        <v>602.0</v>
      </c>
      <c r="K144" s="47" t="s">
        <v>1151</v>
      </c>
      <c r="L144" s="47" t="s">
        <v>1152</v>
      </c>
      <c r="M144" s="26">
        <v>45.0</v>
      </c>
      <c r="N144" s="26" t="s">
        <v>19</v>
      </c>
      <c r="O144" s="26" t="s">
        <v>68</v>
      </c>
      <c r="P144" s="28">
        <v>0.45694444444444443</v>
      </c>
      <c r="Q144" s="51" t="s">
        <v>309</v>
      </c>
      <c r="R144" s="29" t="s">
        <v>194</v>
      </c>
      <c r="S144" s="26" t="s">
        <v>197</v>
      </c>
      <c r="T144" s="26" t="s">
        <v>198</v>
      </c>
      <c r="U144" s="26">
        <v>154.0</v>
      </c>
      <c r="V144" s="26">
        <v>127.0</v>
      </c>
      <c r="W144" s="26">
        <v>114.0</v>
      </c>
      <c r="X144" s="30" t="s">
        <v>199</v>
      </c>
      <c r="Y144" s="26">
        <v>1.0</v>
      </c>
      <c r="Z144" s="30">
        <v>0.0</v>
      </c>
      <c r="AA144" s="26" t="s">
        <v>1153</v>
      </c>
      <c r="AB144" s="46" t="s">
        <v>1154</v>
      </c>
      <c r="AC144" s="30" t="s">
        <v>199</v>
      </c>
      <c r="AD144" s="30" t="s">
        <v>199</v>
      </c>
      <c r="AE144" s="30" t="s">
        <v>199</v>
      </c>
      <c r="AF144" s="30" t="s">
        <v>199</v>
      </c>
      <c r="AG144" s="30" t="s">
        <v>199</v>
      </c>
      <c r="AH144" s="26">
        <v>0.0</v>
      </c>
      <c r="AI144" s="30" t="s">
        <v>199</v>
      </c>
      <c r="AJ144" s="30">
        <v>0.0</v>
      </c>
      <c r="AK144" s="32"/>
      <c r="AL144" s="25"/>
      <c r="AM144" s="25"/>
      <c r="AN144" s="25"/>
      <c r="AO144" s="25"/>
      <c r="AP144" s="25"/>
    </row>
    <row r="145" ht="15.75" customHeight="1">
      <c r="A145" s="16" t="s">
        <v>1053</v>
      </c>
      <c r="B145" s="16">
        <v>2021.0</v>
      </c>
      <c r="C145" s="16" t="s">
        <v>925</v>
      </c>
      <c r="D145" s="16">
        <v>3.0</v>
      </c>
      <c r="E145" s="16">
        <v>30.0</v>
      </c>
      <c r="F145" s="16" t="s">
        <v>199</v>
      </c>
      <c r="G145" s="16" t="s">
        <v>154</v>
      </c>
      <c r="H145" s="16">
        <v>1.0</v>
      </c>
      <c r="I145" s="16">
        <v>2.0</v>
      </c>
      <c r="J145" s="16">
        <v>595.0</v>
      </c>
      <c r="K145" s="49" t="s">
        <v>1141</v>
      </c>
      <c r="L145" s="49" t="s">
        <v>1142</v>
      </c>
      <c r="M145" s="16">
        <v>49.0</v>
      </c>
      <c r="N145" s="16" t="s">
        <v>19</v>
      </c>
      <c r="O145" s="16" t="s">
        <v>68</v>
      </c>
      <c r="P145" s="21">
        <v>0.48125</v>
      </c>
      <c r="Q145" s="52" t="s">
        <v>267</v>
      </c>
      <c r="R145" s="22" t="s">
        <v>194</v>
      </c>
      <c r="S145" s="16" t="s">
        <v>197</v>
      </c>
      <c r="T145" s="16" t="s">
        <v>198</v>
      </c>
      <c r="U145" s="23" t="s">
        <v>199</v>
      </c>
      <c r="V145" s="23" t="s">
        <v>199</v>
      </c>
      <c r="W145" s="23" t="s">
        <v>199</v>
      </c>
      <c r="X145" s="23" t="s">
        <v>199</v>
      </c>
      <c r="Y145" s="16">
        <v>0.0</v>
      </c>
      <c r="Z145" s="23">
        <v>0.0</v>
      </c>
      <c r="AA145" s="23" t="s">
        <v>199</v>
      </c>
      <c r="AB145" s="23" t="s">
        <v>199</v>
      </c>
      <c r="AC145" s="23" t="s">
        <v>199</v>
      </c>
      <c r="AD145" s="23" t="s">
        <v>199</v>
      </c>
      <c r="AE145" s="23" t="s">
        <v>199</v>
      </c>
      <c r="AF145" s="23" t="s">
        <v>199</v>
      </c>
      <c r="AG145" s="23" t="s">
        <v>199</v>
      </c>
      <c r="AH145" s="16">
        <v>0.0</v>
      </c>
      <c r="AI145" s="23" t="s">
        <v>199</v>
      </c>
      <c r="AJ145" s="23">
        <v>0.0</v>
      </c>
      <c r="AK145" s="24"/>
      <c r="AL145" s="25"/>
      <c r="AM145" s="25"/>
      <c r="AN145" s="25"/>
      <c r="AO145" s="25"/>
      <c r="AP145" s="25"/>
    </row>
    <row r="146" ht="15.75" customHeight="1">
      <c r="A146" s="26" t="s">
        <v>1053</v>
      </c>
      <c r="B146" s="26">
        <v>2021.0</v>
      </c>
      <c r="C146" s="26" t="s">
        <v>925</v>
      </c>
      <c r="D146" s="26">
        <v>3.0</v>
      </c>
      <c r="E146" s="26">
        <v>31.0</v>
      </c>
      <c r="F146" s="26" t="s">
        <v>199</v>
      </c>
      <c r="G146" s="26" t="s">
        <v>154</v>
      </c>
      <c r="H146" s="26">
        <v>3.0</v>
      </c>
      <c r="I146" s="26">
        <v>2.0</v>
      </c>
      <c r="J146" s="26">
        <v>597.0</v>
      </c>
      <c r="K146" s="47" t="s">
        <v>1155</v>
      </c>
      <c r="L146" s="47" t="s">
        <v>1156</v>
      </c>
      <c r="M146" s="26">
        <v>50.0</v>
      </c>
      <c r="N146" s="26" t="s">
        <v>19</v>
      </c>
      <c r="O146" s="26" t="s">
        <v>68</v>
      </c>
      <c r="P146" s="28">
        <v>0.4861111111111111</v>
      </c>
      <c r="Q146" s="51" t="s">
        <v>287</v>
      </c>
      <c r="R146" s="29" t="s">
        <v>666</v>
      </c>
      <c r="S146" s="26" t="s">
        <v>668</v>
      </c>
      <c r="T146" s="26" t="s">
        <v>221</v>
      </c>
      <c r="U146" s="26">
        <v>242.0</v>
      </c>
      <c r="V146" s="26">
        <v>216.0</v>
      </c>
      <c r="W146" s="26">
        <v>193.0</v>
      </c>
      <c r="X146" s="30" t="s">
        <v>199</v>
      </c>
      <c r="Y146" s="26">
        <v>1.0</v>
      </c>
      <c r="Z146" s="30">
        <v>1.0</v>
      </c>
      <c r="AA146" s="26" t="s">
        <v>1157</v>
      </c>
      <c r="AB146" s="46" t="s">
        <v>1158</v>
      </c>
      <c r="AC146" s="30" t="s">
        <v>199</v>
      </c>
      <c r="AD146" s="30" t="s">
        <v>199</v>
      </c>
      <c r="AE146" s="30" t="s">
        <v>199</v>
      </c>
      <c r="AF146" s="30" t="s">
        <v>199</v>
      </c>
      <c r="AG146" s="30" t="s">
        <v>199</v>
      </c>
      <c r="AH146" s="26">
        <v>1.0</v>
      </c>
      <c r="AI146" s="30" t="s">
        <v>199</v>
      </c>
      <c r="AJ146" s="30">
        <v>0.0</v>
      </c>
      <c r="AK146" s="55" t="s">
        <v>1159</v>
      </c>
      <c r="AL146" s="25"/>
      <c r="AM146" s="25"/>
      <c r="AN146" s="25"/>
      <c r="AO146" s="25"/>
      <c r="AP146" s="25"/>
    </row>
    <row r="147" ht="15.75" customHeight="1">
      <c r="A147" s="16" t="s">
        <v>1053</v>
      </c>
      <c r="B147" s="16">
        <v>2021.0</v>
      </c>
      <c r="C147" s="16" t="s">
        <v>925</v>
      </c>
      <c r="D147" s="16">
        <v>3.0</v>
      </c>
      <c r="E147" s="16">
        <v>32.0</v>
      </c>
      <c r="F147" s="16" t="s">
        <v>199</v>
      </c>
      <c r="G147" s="16" t="s">
        <v>154</v>
      </c>
      <c r="H147" s="16">
        <v>8.0</v>
      </c>
      <c r="I147" s="16">
        <v>2.0</v>
      </c>
      <c r="J147" s="16">
        <v>602.0</v>
      </c>
      <c r="K147" s="49" t="s">
        <v>1151</v>
      </c>
      <c r="L147" s="49" t="s">
        <v>1152</v>
      </c>
      <c r="M147" s="16">
        <v>45.0</v>
      </c>
      <c r="N147" s="16" t="s">
        <v>19</v>
      </c>
      <c r="O147" s="16" t="s">
        <v>68</v>
      </c>
      <c r="P147" s="21">
        <v>0.5125</v>
      </c>
      <c r="Q147" s="52" t="s">
        <v>267</v>
      </c>
      <c r="R147" s="22" t="s">
        <v>194</v>
      </c>
      <c r="S147" s="16" t="s">
        <v>197</v>
      </c>
      <c r="T147" s="16" t="s">
        <v>198</v>
      </c>
      <c r="U147" s="16">
        <v>110.0</v>
      </c>
      <c r="V147" s="16">
        <v>89.0</v>
      </c>
      <c r="W147" s="16">
        <v>80.0</v>
      </c>
      <c r="X147" s="23" t="s">
        <v>199</v>
      </c>
      <c r="Y147" s="16">
        <v>1.0</v>
      </c>
      <c r="Z147" s="23">
        <v>0.0</v>
      </c>
      <c r="AA147" s="16" t="s">
        <v>1160</v>
      </c>
      <c r="AB147" s="48" t="s">
        <v>1161</v>
      </c>
      <c r="AC147" s="23" t="s">
        <v>199</v>
      </c>
      <c r="AD147" s="23" t="s">
        <v>199</v>
      </c>
      <c r="AE147" s="23" t="s">
        <v>199</v>
      </c>
      <c r="AF147" s="23" t="s">
        <v>199</v>
      </c>
      <c r="AG147" s="23" t="s">
        <v>199</v>
      </c>
      <c r="AH147" s="16">
        <v>1.0</v>
      </c>
      <c r="AI147" s="23" t="s">
        <v>199</v>
      </c>
      <c r="AJ147" s="23">
        <v>0.0</v>
      </c>
      <c r="AK147" s="24"/>
      <c r="AL147" s="25"/>
      <c r="AM147" s="25"/>
      <c r="AN147" s="25"/>
      <c r="AO147" s="25"/>
      <c r="AP147" s="25"/>
    </row>
    <row r="148" ht="15.75" customHeight="1">
      <c r="A148" s="26" t="s">
        <v>1053</v>
      </c>
      <c r="B148" s="26">
        <v>2021.0</v>
      </c>
      <c r="C148" s="26" t="s">
        <v>925</v>
      </c>
      <c r="D148" s="26">
        <v>3.0</v>
      </c>
      <c r="E148" s="26">
        <v>33.0</v>
      </c>
      <c r="F148" s="26" t="s">
        <v>199</v>
      </c>
      <c r="G148" s="26" t="s">
        <v>154</v>
      </c>
      <c r="H148" s="26">
        <v>2.0</v>
      </c>
      <c r="I148" s="26">
        <v>4.0</v>
      </c>
      <c r="J148" s="26">
        <v>596.0</v>
      </c>
      <c r="K148" s="47" t="s">
        <v>1138</v>
      </c>
      <c r="L148" s="47" t="s">
        <v>1139</v>
      </c>
      <c r="M148" s="26">
        <v>48.0</v>
      </c>
      <c r="N148" s="26" t="s">
        <v>19</v>
      </c>
      <c r="O148" s="26" t="s">
        <v>68</v>
      </c>
      <c r="P148" s="28">
        <v>0.6118055555555556</v>
      </c>
      <c r="Q148" s="51" t="s">
        <v>287</v>
      </c>
      <c r="R148" s="29" t="s">
        <v>194</v>
      </c>
      <c r="S148" s="26" t="s">
        <v>197</v>
      </c>
      <c r="T148" s="30" t="s">
        <v>176</v>
      </c>
      <c r="U148" s="30" t="s">
        <v>199</v>
      </c>
      <c r="V148" s="30" t="s">
        <v>199</v>
      </c>
      <c r="W148" s="30" t="s">
        <v>199</v>
      </c>
      <c r="X148" s="30" t="s">
        <v>199</v>
      </c>
      <c r="Y148" s="26">
        <v>0.0</v>
      </c>
      <c r="Z148" s="30">
        <v>0.0</v>
      </c>
      <c r="AA148" s="30" t="s">
        <v>199</v>
      </c>
      <c r="AB148" s="30" t="s">
        <v>199</v>
      </c>
      <c r="AC148" s="30" t="s">
        <v>199</v>
      </c>
      <c r="AD148" s="30" t="s">
        <v>199</v>
      </c>
      <c r="AE148" s="30" t="s">
        <v>199</v>
      </c>
      <c r="AF148" s="30" t="s">
        <v>199</v>
      </c>
      <c r="AG148" s="30" t="s">
        <v>199</v>
      </c>
      <c r="AH148" s="26">
        <v>0.0</v>
      </c>
      <c r="AI148" s="30" t="s">
        <v>199</v>
      </c>
      <c r="AJ148" s="30">
        <v>0.0</v>
      </c>
      <c r="AK148" s="32"/>
      <c r="AL148" s="25"/>
      <c r="AM148" s="25"/>
      <c r="AN148" s="25"/>
      <c r="AO148" s="25"/>
      <c r="AP148" s="25"/>
    </row>
    <row r="149" ht="15.75" customHeight="1">
      <c r="A149" s="16" t="s">
        <v>1053</v>
      </c>
      <c r="B149" s="16">
        <v>2021.0</v>
      </c>
      <c r="C149" s="16" t="s">
        <v>925</v>
      </c>
      <c r="D149" s="16">
        <v>3.0</v>
      </c>
      <c r="E149" s="16">
        <v>34.0</v>
      </c>
      <c r="F149" s="16" t="s">
        <v>155</v>
      </c>
      <c r="G149" s="16" t="s">
        <v>154</v>
      </c>
      <c r="H149" s="16">
        <v>3.0</v>
      </c>
      <c r="I149" s="16">
        <v>3.0</v>
      </c>
      <c r="J149" s="16">
        <v>597.0</v>
      </c>
      <c r="K149" s="49" t="s">
        <v>1155</v>
      </c>
      <c r="L149" s="49" t="s">
        <v>1156</v>
      </c>
      <c r="M149" s="16">
        <v>50.0</v>
      </c>
      <c r="N149" s="16" t="s">
        <v>19</v>
      </c>
      <c r="O149" s="16" t="s">
        <v>68</v>
      </c>
      <c r="P149" s="21">
        <v>0.6145833333333334</v>
      </c>
      <c r="Q149" s="52" t="s">
        <v>287</v>
      </c>
      <c r="R149" s="22" t="s">
        <v>666</v>
      </c>
      <c r="S149" s="16" t="s">
        <v>668</v>
      </c>
      <c r="T149" s="16" t="s">
        <v>221</v>
      </c>
      <c r="U149" s="16">
        <v>337.0</v>
      </c>
      <c r="V149" s="16">
        <v>290.0</v>
      </c>
      <c r="W149" s="16">
        <v>268.0</v>
      </c>
      <c r="X149" s="23" t="s">
        <v>199</v>
      </c>
      <c r="Y149" s="16">
        <v>1.0</v>
      </c>
      <c r="Z149" s="23">
        <v>0.0</v>
      </c>
      <c r="AA149" s="16" t="s">
        <v>1162</v>
      </c>
      <c r="AB149" s="23" t="s">
        <v>199</v>
      </c>
      <c r="AC149" s="23" t="s">
        <v>199</v>
      </c>
      <c r="AD149" s="23" t="s">
        <v>199</v>
      </c>
      <c r="AE149" s="16" t="s">
        <v>1163</v>
      </c>
      <c r="AF149" s="16">
        <v>220667.0</v>
      </c>
      <c r="AG149" s="16" t="s">
        <v>1164</v>
      </c>
      <c r="AH149" s="16">
        <v>0.0</v>
      </c>
      <c r="AI149" s="23" t="s">
        <v>199</v>
      </c>
      <c r="AJ149" s="23">
        <v>0.0</v>
      </c>
      <c r="AK149" s="24" t="s">
        <v>1165</v>
      </c>
      <c r="AL149" s="25"/>
      <c r="AM149" s="25"/>
      <c r="AN149" s="25"/>
      <c r="AO149" s="25"/>
      <c r="AP149" s="25"/>
    </row>
    <row r="150" ht="15.75" customHeight="1">
      <c r="A150" s="26" t="s">
        <v>1053</v>
      </c>
      <c r="B150" s="26">
        <v>2021.0</v>
      </c>
      <c r="C150" s="26" t="s">
        <v>925</v>
      </c>
      <c r="D150" s="26">
        <v>3.0</v>
      </c>
      <c r="E150" s="26">
        <v>35.0</v>
      </c>
      <c r="F150" s="26" t="s">
        <v>199</v>
      </c>
      <c r="G150" s="26" t="s">
        <v>154</v>
      </c>
      <c r="H150" s="26">
        <v>4.0</v>
      </c>
      <c r="I150" s="26">
        <v>3.0</v>
      </c>
      <c r="J150" s="26">
        <v>598.0</v>
      </c>
      <c r="K150" s="47" t="s">
        <v>1166</v>
      </c>
      <c r="L150" s="47" t="s">
        <v>1167</v>
      </c>
      <c r="M150" s="26">
        <v>52.0</v>
      </c>
      <c r="N150" s="26" t="s">
        <v>19</v>
      </c>
      <c r="O150" s="26" t="s">
        <v>68</v>
      </c>
      <c r="P150" s="28">
        <v>0.6666666666666666</v>
      </c>
      <c r="Q150" s="51" t="s">
        <v>287</v>
      </c>
      <c r="R150" s="29" t="s">
        <v>194</v>
      </c>
      <c r="S150" s="26" t="s">
        <v>197</v>
      </c>
      <c r="T150" s="30" t="s">
        <v>176</v>
      </c>
      <c r="U150" s="30" t="s">
        <v>199</v>
      </c>
      <c r="V150" s="30" t="s">
        <v>199</v>
      </c>
      <c r="W150" s="30" t="s">
        <v>199</v>
      </c>
      <c r="X150" s="30" t="s">
        <v>199</v>
      </c>
      <c r="Y150" s="26">
        <v>0.0</v>
      </c>
      <c r="Z150" s="30">
        <v>0.0</v>
      </c>
      <c r="AA150" s="30" t="s">
        <v>199</v>
      </c>
      <c r="AB150" s="30" t="s">
        <v>199</v>
      </c>
      <c r="AC150" s="30" t="s">
        <v>199</v>
      </c>
      <c r="AD150" s="30" t="s">
        <v>199</v>
      </c>
      <c r="AE150" s="30" t="s">
        <v>199</v>
      </c>
      <c r="AF150" s="30" t="s">
        <v>199</v>
      </c>
      <c r="AG150" s="30" t="s">
        <v>199</v>
      </c>
      <c r="AH150" s="26">
        <v>0.0</v>
      </c>
      <c r="AI150" s="30" t="s">
        <v>199</v>
      </c>
      <c r="AJ150" s="30">
        <v>0.0</v>
      </c>
      <c r="AK150" s="32"/>
      <c r="AL150" s="25"/>
      <c r="AM150" s="25"/>
      <c r="AN150" s="25"/>
      <c r="AO150" s="25"/>
      <c r="AP150" s="25"/>
    </row>
    <row r="151" ht="15.75" customHeight="1">
      <c r="A151" s="16" t="s">
        <v>1053</v>
      </c>
      <c r="B151" s="16">
        <v>2021.0</v>
      </c>
      <c r="C151" s="16" t="s">
        <v>925</v>
      </c>
      <c r="D151" s="16">
        <v>3.0</v>
      </c>
      <c r="E151" s="16">
        <v>36.0</v>
      </c>
      <c r="F151" s="16" t="s">
        <v>199</v>
      </c>
      <c r="G151" s="16" t="s">
        <v>154</v>
      </c>
      <c r="H151" s="16">
        <v>7.0</v>
      </c>
      <c r="I151" s="16">
        <v>3.0</v>
      </c>
      <c r="J151" s="16">
        <v>601.0</v>
      </c>
      <c r="K151" s="49" t="s">
        <v>1149</v>
      </c>
      <c r="L151" s="49" t="s">
        <v>1150</v>
      </c>
      <c r="M151" s="16">
        <v>47.0</v>
      </c>
      <c r="N151" s="16" t="s">
        <v>19</v>
      </c>
      <c r="O151" s="16" t="s">
        <v>68</v>
      </c>
      <c r="P151" s="21">
        <v>0.6736111111111112</v>
      </c>
      <c r="Q151" s="52" t="s">
        <v>267</v>
      </c>
      <c r="R151" s="22" t="s">
        <v>194</v>
      </c>
      <c r="S151" s="16" t="s">
        <v>197</v>
      </c>
      <c r="T151" s="23" t="s">
        <v>176</v>
      </c>
      <c r="U151" s="23" t="s">
        <v>199</v>
      </c>
      <c r="V151" s="23" t="s">
        <v>199</v>
      </c>
      <c r="W151" s="23" t="s">
        <v>199</v>
      </c>
      <c r="X151" s="23" t="s">
        <v>199</v>
      </c>
      <c r="Y151" s="16">
        <v>0.0</v>
      </c>
      <c r="Z151" s="23">
        <v>0.0</v>
      </c>
      <c r="AA151" s="23" t="s">
        <v>199</v>
      </c>
      <c r="AB151" s="23" t="s">
        <v>199</v>
      </c>
      <c r="AC151" s="23" t="s">
        <v>199</v>
      </c>
      <c r="AD151" s="23" t="s">
        <v>199</v>
      </c>
      <c r="AE151" s="23" t="s">
        <v>199</v>
      </c>
      <c r="AF151" s="23" t="s">
        <v>199</v>
      </c>
      <c r="AG151" s="23" t="s">
        <v>199</v>
      </c>
      <c r="AH151" s="16">
        <v>0.0</v>
      </c>
      <c r="AI151" s="23" t="s">
        <v>199</v>
      </c>
      <c r="AJ151" s="23">
        <v>0.0</v>
      </c>
      <c r="AK151" s="24"/>
      <c r="AL151" s="25"/>
      <c r="AM151" s="25"/>
      <c r="AN151" s="25"/>
      <c r="AO151" s="25"/>
      <c r="AP151" s="25"/>
    </row>
    <row r="152" ht="15.75" customHeight="1">
      <c r="A152" s="26" t="s">
        <v>1053</v>
      </c>
      <c r="B152" s="26">
        <v>2021.0</v>
      </c>
      <c r="C152" s="26" t="s">
        <v>925</v>
      </c>
      <c r="D152" s="26">
        <v>3.0</v>
      </c>
      <c r="E152" s="26">
        <v>37.0</v>
      </c>
      <c r="F152" s="26" t="s">
        <v>199</v>
      </c>
      <c r="G152" s="26" t="s">
        <v>154</v>
      </c>
      <c r="H152" s="26">
        <v>8.0</v>
      </c>
      <c r="I152" s="26">
        <v>3.0</v>
      </c>
      <c r="J152" s="26">
        <v>602.0</v>
      </c>
      <c r="K152" s="47" t="s">
        <v>1151</v>
      </c>
      <c r="L152" s="47" t="s">
        <v>1152</v>
      </c>
      <c r="M152" s="26">
        <v>45.0</v>
      </c>
      <c r="N152" s="26" t="s">
        <v>19</v>
      </c>
      <c r="O152" s="26" t="s">
        <v>68</v>
      </c>
      <c r="P152" s="28">
        <v>0.6756944444444445</v>
      </c>
      <c r="Q152" s="51" t="s">
        <v>309</v>
      </c>
      <c r="R152" s="29" t="s">
        <v>666</v>
      </c>
      <c r="S152" s="26" t="s">
        <v>668</v>
      </c>
      <c r="T152" s="26" t="s">
        <v>221</v>
      </c>
      <c r="U152" s="30" t="s">
        <v>199</v>
      </c>
      <c r="V152" s="30" t="s">
        <v>199</v>
      </c>
      <c r="W152" s="30" t="s">
        <v>199</v>
      </c>
      <c r="X152" s="30" t="s">
        <v>199</v>
      </c>
      <c r="Y152" s="26">
        <v>0.0</v>
      </c>
      <c r="Z152" s="30">
        <v>0.0</v>
      </c>
      <c r="AA152" s="30" t="s">
        <v>199</v>
      </c>
      <c r="AB152" s="30" t="s">
        <v>199</v>
      </c>
      <c r="AC152" s="30" t="s">
        <v>199</v>
      </c>
      <c r="AD152" s="30" t="s">
        <v>199</v>
      </c>
      <c r="AE152" s="30" t="s">
        <v>199</v>
      </c>
      <c r="AF152" s="30" t="s">
        <v>199</v>
      </c>
      <c r="AG152" s="30" t="s">
        <v>199</v>
      </c>
      <c r="AH152" s="26">
        <v>0.0</v>
      </c>
      <c r="AI152" s="30" t="s">
        <v>199</v>
      </c>
      <c r="AJ152" s="30">
        <v>0.0</v>
      </c>
      <c r="AK152" s="32" t="s">
        <v>1168</v>
      </c>
      <c r="AL152" s="25"/>
      <c r="AM152" s="25"/>
      <c r="AN152" s="25"/>
      <c r="AO152" s="25"/>
      <c r="AP152" s="25"/>
    </row>
    <row r="153" ht="15.75" customHeight="1">
      <c r="A153" s="16" t="s">
        <v>1053</v>
      </c>
      <c r="B153" s="16">
        <v>2021.0</v>
      </c>
      <c r="C153" s="16" t="s">
        <v>925</v>
      </c>
      <c r="D153" s="16">
        <v>4.0</v>
      </c>
      <c r="E153" s="16">
        <v>38.0</v>
      </c>
      <c r="F153" s="16" t="s">
        <v>199</v>
      </c>
      <c r="G153" s="16" t="s">
        <v>154</v>
      </c>
      <c r="H153" s="16">
        <v>4.0</v>
      </c>
      <c r="I153" s="16">
        <v>1.0</v>
      </c>
      <c r="J153" s="16">
        <v>607.0</v>
      </c>
      <c r="K153" s="49" t="s">
        <v>1169</v>
      </c>
      <c r="L153" s="49" t="s">
        <v>1170</v>
      </c>
      <c r="M153" s="16">
        <v>52.0</v>
      </c>
      <c r="N153" s="16" t="s">
        <v>19</v>
      </c>
      <c r="O153" s="16" t="s">
        <v>50</v>
      </c>
      <c r="P153" s="21">
        <v>0.5375</v>
      </c>
      <c r="Q153" s="52" t="s">
        <v>267</v>
      </c>
      <c r="R153" s="22" t="s">
        <v>194</v>
      </c>
      <c r="S153" s="16" t="s">
        <v>197</v>
      </c>
      <c r="T153" s="16" t="s">
        <v>221</v>
      </c>
      <c r="U153" s="16">
        <v>101.0</v>
      </c>
      <c r="V153" s="16">
        <v>81.0</v>
      </c>
      <c r="W153" s="16">
        <v>72.0</v>
      </c>
      <c r="X153" s="23" t="s">
        <v>199</v>
      </c>
      <c r="Y153" s="16">
        <v>1.0</v>
      </c>
      <c r="Z153" s="23">
        <v>0.0</v>
      </c>
      <c r="AA153" s="16" t="s">
        <v>1171</v>
      </c>
      <c r="AB153" s="48" t="s">
        <v>1172</v>
      </c>
      <c r="AC153" s="23" t="s">
        <v>199</v>
      </c>
      <c r="AD153" s="23" t="s">
        <v>199</v>
      </c>
      <c r="AE153" s="23" t="s">
        <v>199</v>
      </c>
      <c r="AF153" s="23" t="s">
        <v>199</v>
      </c>
      <c r="AG153" s="23" t="s">
        <v>199</v>
      </c>
      <c r="AH153" s="16">
        <v>1.0</v>
      </c>
      <c r="AI153" s="23" t="s">
        <v>199</v>
      </c>
      <c r="AJ153" s="23">
        <v>0.0</v>
      </c>
      <c r="AK153" s="24"/>
      <c r="AL153" s="25"/>
      <c r="AM153" s="25"/>
      <c r="AN153" s="25"/>
      <c r="AO153" s="25"/>
      <c r="AP153" s="25"/>
    </row>
    <row r="154" ht="15.75" customHeight="1">
      <c r="A154" s="26" t="s">
        <v>1053</v>
      </c>
      <c r="B154" s="26">
        <v>2021.0</v>
      </c>
      <c r="C154" s="26" t="s">
        <v>925</v>
      </c>
      <c r="D154" s="26">
        <v>4.0</v>
      </c>
      <c r="E154" s="26">
        <v>39.0</v>
      </c>
      <c r="F154" s="26" t="s">
        <v>199</v>
      </c>
      <c r="G154" s="26" t="s">
        <v>154</v>
      </c>
      <c r="H154" s="26">
        <v>8.0</v>
      </c>
      <c r="I154" s="26">
        <v>1.0</v>
      </c>
      <c r="J154" s="26">
        <v>611.0</v>
      </c>
      <c r="K154" s="47" t="s">
        <v>1173</v>
      </c>
      <c r="L154" s="47" t="s">
        <v>1174</v>
      </c>
      <c r="M154" s="26">
        <v>62.0</v>
      </c>
      <c r="N154" s="26" t="s">
        <v>19</v>
      </c>
      <c r="O154" s="26" t="s">
        <v>50</v>
      </c>
      <c r="P154" s="28">
        <v>0.5534722222222223</v>
      </c>
      <c r="Q154" s="51" t="s">
        <v>309</v>
      </c>
      <c r="R154" s="29" t="s">
        <v>194</v>
      </c>
      <c r="S154" s="26" t="s">
        <v>197</v>
      </c>
      <c r="T154" s="30" t="s">
        <v>176</v>
      </c>
      <c r="U154" s="30" t="s">
        <v>199</v>
      </c>
      <c r="V154" s="30" t="s">
        <v>199</v>
      </c>
      <c r="W154" s="30" t="s">
        <v>199</v>
      </c>
      <c r="X154" s="30" t="s">
        <v>199</v>
      </c>
      <c r="Y154" s="26">
        <v>0.0</v>
      </c>
      <c r="Z154" s="30">
        <v>0.0</v>
      </c>
      <c r="AA154" s="30" t="s">
        <v>199</v>
      </c>
      <c r="AB154" s="30" t="s">
        <v>199</v>
      </c>
      <c r="AC154" s="30" t="s">
        <v>199</v>
      </c>
      <c r="AD154" s="30" t="s">
        <v>199</v>
      </c>
      <c r="AE154" s="30" t="s">
        <v>199</v>
      </c>
      <c r="AF154" s="30" t="s">
        <v>199</v>
      </c>
      <c r="AG154" s="30" t="s">
        <v>199</v>
      </c>
      <c r="AH154" s="26">
        <v>0.0</v>
      </c>
      <c r="AI154" s="30" t="s">
        <v>199</v>
      </c>
      <c r="AJ154" s="30">
        <v>0.0</v>
      </c>
      <c r="AK154" s="32"/>
      <c r="AL154" s="25"/>
      <c r="AM154" s="25"/>
      <c r="AN154" s="25"/>
      <c r="AO154" s="25"/>
      <c r="AP154" s="25"/>
    </row>
    <row r="155" ht="15.75" customHeight="1">
      <c r="A155" s="16" t="s">
        <v>1053</v>
      </c>
      <c r="B155" s="16">
        <v>2021.0</v>
      </c>
      <c r="C155" s="16" t="s">
        <v>925</v>
      </c>
      <c r="D155" s="16">
        <v>4.0</v>
      </c>
      <c r="E155" s="16">
        <v>40.0</v>
      </c>
      <c r="F155" s="16" t="s">
        <v>199</v>
      </c>
      <c r="G155" s="16" t="s">
        <v>154</v>
      </c>
      <c r="H155" s="16">
        <v>4.0</v>
      </c>
      <c r="I155" s="16">
        <v>2.0</v>
      </c>
      <c r="J155" s="16">
        <v>607.0</v>
      </c>
      <c r="K155" s="49" t="s">
        <v>1169</v>
      </c>
      <c r="L155" s="49" t="s">
        <v>1170</v>
      </c>
      <c r="M155" s="16">
        <v>52.0</v>
      </c>
      <c r="N155" s="16" t="s">
        <v>19</v>
      </c>
      <c r="O155" s="16" t="s">
        <v>50</v>
      </c>
      <c r="P155" s="21">
        <v>0.6069444444444444</v>
      </c>
      <c r="Q155" s="52" t="s">
        <v>287</v>
      </c>
      <c r="R155" s="22" t="s">
        <v>666</v>
      </c>
      <c r="S155" s="16" t="s">
        <v>668</v>
      </c>
      <c r="T155" s="16" t="s">
        <v>198</v>
      </c>
      <c r="U155" s="16">
        <v>323.0</v>
      </c>
      <c r="V155" s="16">
        <v>262.0</v>
      </c>
      <c r="W155" s="16">
        <v>240.0</v>
      </c>
      <c r="X155" s="23" t="s">
        <v>199</v>
      </c>
      <c r="Y155" s="16">
        <v>1.0</v>
      </c>
      <c r="Z155" s="23">
        <v>0.0</v>
      </c>
      <c r="AA155" s="16" t="s">
        <v>1175</v>
      </c>
      <c r="AB155" s="48" t="s">
        <v>1176</v>
      </c>
      <c r="AC155" s="23" t="s">
        <v>199</v>
      </c>
      <c r="AD155" s="23" t="s">
        <v>199</v>
      </c>
      <c r="AE155" s="23" t="s">
        <v>199</v>
      </c>
      <c r="AF155" s="23" t="s">
        <v>199</v>
      </c>
      <c r="AG155" s="23" t="s">
        <v>199</v>
      </c>
      <c r="AH155" s="16">
        <v>1.0</v>
      </c>
      <c r="AI155" s="23" t="s">
        <v>199</v>
      </c>
      <c r="AJ155" s="23">
        <v>0.0</v>
      </c>
      <c r="AK155" s="24"/>
      <c r="AL155" s="25"/>
      <c r="AM155" s="25"/>
      <c r="AN155" s="25"/>
      <c r="AO155" s="25"/>
      <c r="AP155" s="25"/>
    </row>
    <row r="156" ht="15.75" customHeight="1">
      <c r="A156" s="26" t="s">
        <v>1053</v>
      </c>
      <c r="B156" s="26">
        <v>2021.0</v>
      </c>
      <c r="C156" s="26" t="s">
        <v>925</v>
      </c>
      <c r="D156" s="26">
        <v>4.0</v>
      </c>
      <c r="E156" s="26">
        <v>41.0</v>
      </c>
      <c r="F156" s="26" t="s">
        <v>199</v>
      </c>
      <c r="G156" s="26" t="s">
        <v>154</v>
      </c>
      <c r="H156" s="26">
        <v>6.0</v>
      </c>
      <c r="I156" s="26">
        <v>2.0</v>
      </c>
      <c r="J156" s="26">
        <v>609.0</v>
      </c>
      <c r="K156" s="47" t="s">
        <v>1177</v>
      </c>
      <c r="L156" s="47" t="s">
        <v>1178</v>
      </c>
      <c r="M156" s="26">
        <v>58.0</v>
      </c>
      <c r="N156" s="26" t="s">
        <v>19</v>
      </c>
      <c r="O156" s="26" t="s">
        <v>50</v>
      </c>
      <c r="P156" s="28">
        <v>0.6284722222222222</v>
      </c>
      <c r="Q156" s="51" t="s">
        <v>287</v>
      </c>
      <c r="R156" s="29" t="s">
        <v>194</v>
      </c>
      <c r="S156" s="26" t="s">
        <v>197</v>
      </c>
      <c r="T156" s="30" t="s">
        <v>176</v>
      </c>
      <c r="U156" s="30" t="s">
        <v>199</v>
      </c>
      <c r="V156" s="30" t="s">
        <v>199</v>
      </c>
      <c r="W156" s="30" t="s">
        <v>199</v>
      </c>
      <c r="X156" s="30" t="s">
        <v>199</v>
      </c>
      <c r="Y156" s="26">
        <v>0.0</v>
      </c>
      <c r="Z156" s="30">
        <v>0.0</v>
      </c>
      <c r="AA156" s="30" t="s">
        <v>199</v>
      </c>
      <c r="AB156" s="30" t="s">
        <v>199</v>
      </c>
      <c r="AC156" s="30" t="s">
        <v>199</v>
      </c>
      <c r="AD156" s="30" t="s">
        <v>199</v>
      </c>
      <c r="AE156" s="30" t="s">
        <v>199</v>
      </c>
      <c r="AF156" s="30" t="s">
        <v>199</v>
      </c>
      <c r="AG156" s="30" t="s">
        <v>199</v>
      </c>
      <c r="AH156" s="26">
        <v>0.0</v>
      </c>
      <c r="AI156" s="30" t="s">
        <v>199</v>
      </c>
      <c r="AJ156" s="30">
        <v>0.0</v>
      </c>
      <c r="AK156" s="32" t="s">
        <v>1179</v>
      </c>
      <c r="AL156" s="25"/>
      <c r="AM156" s="25"/>
      <c r="AN156" s="25"/>
      <c r="AO156" s="25"/>
      <c r="AP156" s="25"/>
    </row>
    <row r="157" ht="15.75" customHeight="1">
      <c r="A157" s="16" t="s">
        <v>1053</v>
      </c>
      <c r="B157" s="16">
        <v>2021.0</v>
      </c>
      <c r="C157" s="16" t="s">
        <v>925</v>
      </c>
      <c r="D157" s="16">
        <v>4.0</v>
      </c>
      <c r="E157" s="16">
        <v>42.0</v>
      </c>
      <c r="F157" s="16" t="s">
        <v>199</v>
      </c>
      <c r="G157" s="16" t="s">
        <v>154</v>
      </c>
      <c r="H157" s="16">
        <v>8.0</v>
      </c>
      <c r="I157" s="16">
        <v>2.0</v>
      </c>
      <c r="J157" s="16">
        <v>611.0</v>
      </c>
      <c r="K157" s="49" t="s">
        <v>1173</v>
      </c>
      <c r="L157" s="49" t="s">
        <v>1174</v>
      </c>
      <c r="M157" s="16">
        <v>62.0</v>
      </c>
      <c r="N157" s="16" t="s">
        <v>19</v>
      </c>
      <c r="O157" s="16" t="s">
        <v>50</v>
      </c>
      <c r="P157" s="21">
        <v>0.6340277777777777</v>
      </c>
      <c r="Q157" s="52" t="s">
        <v>309</v>
      </c>
      <c r="R157" s="22" t="s">
        <v>666</v>
      </c>
      <c r="S157" s="16" t="s">
        <v>668</v>
      </c>
      <c r="T157" s="23" t="s">
        <v>176</v>
      </c>
      <c r="U157" s="23" t="s">
        <v>199</v>
      </c>
      <c r="V157" s="23" t="s">
        <v>199</v>
      </c>
      <c r="W157" s="23" t="s">
        <v>199</v>
      </c>
      <c r="X157" s="23" t="s">
        <v>199</v>
      </c>
      <c r="Y157" s="16">
        <v>0.0</v>
      </c>
      <c r="Z157" s="23">
        <v>0.0</v>
      </c>
      <c r="AA157" s="23" t="s">
        <v>199</v>
      </c>
      <c r="AB157" s="23" t="s">
        <v>199</v>
      </c>
      <c r="AC157" s="23" t="s">
        <v>199</v>
      </c>
      <c r="AD157" s="23" t="s">
        <v>199</v>
      </c>
      <c r="AE157" s="23" t="s">
        <v>199</v>
      </c>
      <c r="AF157" s="23" t="s">
        <v>199</v>
      </c>
      <c r="AG157" s="23" t="s">
        <v>199</v>
      </c>
      <c r="AH157" s="16">
        <v>0.0</v>
      </c>
      <c r="AI157" s="23" t="s">
        <v>199</v>
      </c>
      <c r="AJ157" s="23">
        <v>0.0</v>
      </c>
      <c r="AK157" s="24" t="s">
        <v>1180</v>
      </c>
      <c r="AL157" s="25"/>
      <c r="AM157" s="25"/>
      <c r="AN157" s="25"/>
      <c r="AO157" s="25"/>
      <c r="AP157" s="25"/>
    </row>
    <row r="158" ht="15.75" customHeight="1">
      <c r="A158" s="26" t="s">
        <v>1053</v>
      </c>
      <c r="B158" s="26">
        <v>2021.0</v>
      </c>
      <c r="C158" s="26" t="s">
        <v>925</v>
      </c>
      <c r="D158" s="26">
        <v>5.0</v>
      </c>
      <c r="E158" s="26">
        <v>43.0</v>
      </c>
      <c r="F158" s="26" t="s">
        <v>199</v>
      </c>
      <c r="G158" s="26" t="s">
        <v>154</v>
      </c>
      <c r="H158" s="26">
        <v>1.0</v>
      </c>
      <c r="I158" s="26">
        <v>1.0</v>
      </c>
      <c r="J158" s="26">
        <v>613.0</v>
      </c>
      <c r="K158" s="47" t="s">
        <v>1181</v>
      </c>
      <c r="L158" s="47" t="s">
        <v>1182</v>
      </c>
      <c r="M158" s="26">
        <v>47.0</v>
      </c>
      <c r="N158" s="26" t="s">
        <v>19</v>
      </c>
      <c r="O158" s="26" t="s">
        <v>68</v>
      </c>
      <c r="P158" s="28">
        <v>0.4027777777777778</v>
      </c>
      <c r="Q158" s="51" t="s">
        <v>287</v>
      </c>
      <c r="R158" s="29" t="s">
        <v>194</v>
      </c>
      <c r="S158" s="26" t="s">
        <v>197</v>
      </c>
      <c r="T158" s="26" t="s">
        <v>221</v>
      </c>
      <c r="U158" s="26">
        <v>124.0</v>
      </c>
      <c r="V158" s="26">
        <v>103.0</v>
      </c>
      <c r="W158" s="26">
        <v>92.0</v>
      </c>
      <c r="X158" s="30" t="s">
        <v>199</v>
      </c>
      <c r="Y158" s="26">
        <v>1.0</v>
      </c>
      <c r="Z158" s="30">
        <v>0.0</v>
      </c>
      <c r="AA158" s="26" t="s">
        <v>1183</v>
      </c>
      <c r="AB158" s="46" t="s">
        <v>1184</v>
      </c>
      <c r="AC158" s="30" t="s">
        <v>199</v>
      </c>
      <c r="AD158" s="30" t="s">
        <v>199</v>
      </c>
      <c r="AE158" s="30" t="s">
        <v>199</v>
      </c>
      <c r="AF158" s="30" t="s">
        <v>199</v>
      </c>
      <c r="AG158" s="30" t="s">
        <v>199</v>
      </c>
      <c r="AH158" s="26">
        <v>0.0</v>
      </c>
      <c r="AI158" s="30" t="s">
        <v>199</v>
      </c>
      <c r="AJ158" s="30">
        <v>0.0</v>
      </c>
      <c r="AK158" s="32"/>
      <c r="AL158" s="25"/>
      <c r="AM158" s="25"/>
      <c r="AN158" s="25"/>
      <c r="AO158" s="25"/>
      <c r="AP158" s="25"/>
    </row>
    <row r="159" ht="15.75" customHeight="1">
      <c r="A159" s="16" t="s">
        <v>1053</v>
      </c>
      <c r="B159" s="16">
        <v>2021.0</v>
      </c>
      <c r="C159" s="16" t="s">
        <v>925</v>
      </c>
      <c r="D159" s="16">
        <v>5.0</v>
      </c>
      <c r="E159" s="16">
        <v>44.0</v>
      </c>
      <c r="F159" s="16" t="s">
        <v>199</v>
      </c>
      <c r="G159" s="16" t="s">
        <v>154</v>
      </c>
      <c r="H159" s="16">
        <v>2.0</v>
      </c>
      <c r="I159" s="16">
        <v>1.0</v>
      </c>
      <c r="J159" s="16">
        <v>614.0</v>
      </c>
      <c r="K159" s="49" t="s">
        <v>1185</v>
      </c>
      <c r="L159" s="49" t="s">
        <v>1186</v>
      </c>
      <c r="M159" s="16">
        <v>46.0</v>
      </c>
      <c r="N159" s="16" t="s">
        <v>19</v>
      </c>
      <c r="O159" s="16" t="s">
        <v>68</v>
      </c>
      <c r="P159" s="21">
        <v>0.4152777777777778</v>
      </c>
      <c r="Q159" s="52" t="s">
        <v>287</v>
      </c>
      <c r="R159" s="22" t="s">
        <v>194</v>
      </c>
      <c r="S159" s="16" t="s">
        <v>197</v>
      </c>
      <c r="T159" s="16" t="s">
        <v>221</v>
      </c>
      <c r="U159" s="23" t="s">
        <v>199</v>
      </c>
      <c r="V159" s="23" t="s">
        <v>199</v>
      </c>
      <c r="W159" s="23" t="s">
        <v>199</v>
      </c>
      <c r="X159" s="23" t="s">
        <v>199</v>
      </c>
      <c r="Y159" s="16">
        <v>0.0</v>
      </c>
      <c r="Z159" s="23">
        <v>0.0</v>
      </c>
      <c r="AA159" s="23" t="s">
        <v>199</v>
      </c>
      <c r="AB159" s="23" t="s">
        <v>199</v>
      </c>
      <c r="AC159" s="23" t="s">
        <v>199</v>
      </c>
      <c r="AD159" s="23" t="s">
        <v>199</v>
      </c>
      <c r="AE159" s="23" t="s">
        <v>199</v>
      </c>
      <c r="AF159" s="23" t="s">
        <v>199</v>
      </c>
      <c r="AG159" s="23" t="s">
        <v>199</v>
      </c>
      <c r="AH159" s="16">
        <v>0.0</v>
      </c>
      <c r="AI159" s="23" t="s">
        <v>199</v>
      </c>
      <c r="AJ159" s="23">
        <v>0.0</v>
      </c>
      <c r="AK159" s="24"/>
      <c r="AL159" s="25"/>
      <c r="AM159" s="25"/>
      <c r="AN159" s="25"/>
      <c r="AO159" s="25"/>
      <c r="AP159" s="25"/>
    </row>
    <row r="160" ht="15.75" customHeight="1">
      <c r="A160" s="26" t="s">
        <v>1053</v>
      </c>
      <c r="B160" s="26">
        <v>2021.0</v>
      </c>
      <c r="C160" s="26" t="s">
        <v>925</v>
      </c>
      <c r="D160" s="26">
        <v>5.0</v>
      </c>
      <c r="E160" s="26">
        <v>45.0</v>
      </c>
      <c r="F160" s="26" t="s">
        <v>199</v>
      </c>
      <c r="G160" s="26" t="s">
        <v>154</v>
      </c>
      <c r="H160" s="26">
        <v>6.0</v>
      </c>
      <c r="I160" s="26">
        <v>1.0</v>
      </c>
      <c r="J160" s="26">
        <v>618.0</v>
      </c>
      <c r="K160" s="47" t="s">
        <v>1187</v>
      </c>
      <c r="L160" s="47" t="s">
        <v>1188</v>
      </c>
      <c r="M160" s="26">
        <v>49.0</v>
      </c>
      <c r="N160" s="26" t="s">
        <v>19</v>
      </c>
      <c r="O160" s="26" t="s">
        <v>68</v>
      </c>
      <c r="P160" s="28">
        <v>0.4236111111111111</v>
      </c>
      <c r="Q160" s="51" t="s">
        <v>9</v>
      </c>
      <c r="R160" s="29" t="s">
        <v>666</v>
      </c>
      <c r="S160" s="26" t="s">
        <v>668</v>
      </c>
      <c r="T160" s="30" t="s">
        <v>176</v>
      </c>
      <c r="U160" s="30" t="s">
        <v>199</v>
      </c>
      <c r="V160" s="30" t="s">
        <v>199</v>
      </c>
      <c r="W160" s="30" t="s">
        <v>199</v>
      </c>
      <c r="X160" s="30" t="s">
        <v>199</v>
      </c>
      <c r="Y160" s="26">
        <v>0.0</v>
      </c>
      <c r="Z160" s="30">
        <v>0.0</v>
      </c>
      <c r="AA160" s="30" t="s">
        <v>199</v>
      </c>
      <c r="AB160" s="30" t="s">
        <v>199</v>
      </c>
      <c r="AC160" s="30" t="s">
        <v>199</v>
      </c>
      <c r="AD160" s="30" t="s">
        <v>199</v>
      </c>
      <c r="AE160" s="30" t="s">
        <v>199</v>
      </c>
      <c r="AF160" s="30" t="s">
        <v>199</v>
      </c>
      <c r="AG160" s="30" t="s">
        <v>199</v>
      </c>
      <c r="AH160" s="26">
        <v>0.0</v>
      </c>
      <c r="AI160" s="30" t="s">
        <v>199</v>
      </c>
      <c r="AJ160" s="30">
        <v>0.0</v>
      </c>
      <c r="AK160" s="32" t="s">
        <v>1189</v>
      </c>
      <c r="AL160" s="25"/>
      <c r="AM160" s="25"/>
      <c r="AN160" s="25"/>
      <c r="AO160" s="25"/>
      <c r="AP160" s="25"/>
    </row>
    <row r="161" ht="15.75" customHeight="1">
      <c r="A161" s="16" t="s">
        <v>1053</v>
      </c>
      <c r="B161" s="16">
        <v>2021.0</v>
      </c>
      <c r="C161" s="16" t="s">
        <v>925</v>
      </c>
      <c r="D161" s="16">
        <v>5.0</v>
      </c>
      <c r="E161" s="16">
        <v>46.0</v>
      </c>
      <c r="F161" s="16" t="s">
        <v>199</v>
      </c>
      <c r="G161" s="16" t="s">
        <v>154</v>
      </c>
      <c r="H161" s="16">
        <v>6.0</v>
      </c>
      <c r="I161" s="16">
        <v>1.0</v>
      </c>
      <c r="J161" s="16">
        <v>618.0</v>
      </c>
      <c r="K161" s="49" t="s">
        <v>1187</v>
      </c>
      <c r="L161" s="49" t="s">
        <v>1188</v>
      </c>
      <c r="M161" s="16">
        <v>49.0</v>
      </c>
      <c r="N161" s="16" t="s">
        <v>19</v>
      </c>
      <c r="O161" s="16" t="s">
        <v>68</v>
      </c>
      <c r="P161" s="21">
        <v>0.4236111111111111</v>
      </c>
      <c r="Q161" s="52" t="s">
        <v>309</v>
      </c>
      <c r="R161" s="22" t="s">
        <v>194</v>
      </c>
      <c r="S161" s="16" t="s">
        <v>197</v>
      </c>
      <c r="T161" s="16" t="s">
        <v>198</v>
      </c>
      <c r="U161" s="23" t="s">
        <v>199</v>
      </c>
      <c r="V161" s="23" t="s">
        <v>199</v>
      </c>
      <c r="W161" s="23" t="s">
        <v>199</v>
      </c>
      <c r="X161" s="23" t="s">
        <v>199</v>
      </c>
      <c r="Y161" s="16">
        <v>0.0</v>
      </c>
      <c r="Z161" s="23">
        <v>0.0</v>
      </c>
      <c r="AA161" s="23" t="s">
        <v>199</v>
      </c>
      <c r="AB161" s="23" t="s">
        <v>199</v>
      </c>
      <c r="AC161" s="23" t="s">
        <v>199</v>
      </c>
      <c r="AD161" s="23" t="s">
        <v>199</v>
      </c>
      <c r="AE161" s="23" t="s">
        <v>199</v>
      </c>
      <c r="AF161" s="23" t="s">
        <v>199</v>
      </c>
      <c r="AG161" s="23" t="s">
        <v>199</v>
      </c>
      <c r="AH161" s="16">
        <v>0.0</v>
      </c>
      <c r="AI161" s="23" t="s">
        <v>199</v>
      </c>
      <c r="AJ161" s="23">
        <v>0.0</v>
      </c>
      <c r="AK161" s="24" t="s">
        <v>1190</v>
      </c>
      <c r="AL161" s="25"/>
      <c r="AM161" s="25"/>
      <c r="AN161" s="25"/>
      <c r="AO161" s="25"/>
      <c r="AP161" s="25"/>
    </row>
    <row r="162" ht="15.75" customHeight="1">
      <c r="A162" s="26" t="s">
        <v>1053</v>
      </c>
      <c r="B162" s="26">
        <v>2021.0</v>
      </c>
      <c r="C162" s="26" t="s">
        <v>925</v>
      </c>
      <c r="D162" s="26">
        <v>5.0</v>
      </c>
      <c r="E162" s="26">
        <v>47.0</v>
      </c>
      <c r="F162" s="26" t="s">
        <v>199</v>
      </c>
      <c r="G162" s="26" t="s">
        <v>154</v>
      </c>
      <c r="H162" s="26">
        <v>7.0</v>
      </c>
      <c r="I162" s="26">
        <v>1.0</v>
      </c>
      <c r="J162" s="26">
        <v>619.0</v>
      </c>
      <c r="K162" s="47" t="s">
        <v>1191</v>
      </c>
      <c r="L162" s="47" t="s">
        <v>1192</v>
      </c>
      <c r="M162" s="26">
        <v>47.0</v>
      </c>
      <c r="N162" s="26" t="s">
        <v>19</v>
      </c>
      <c r="O162" s="26" t="s">
        <v>68</v>
      </c>
      <c r="P162" s="28">
        <v>0.4284722222222222</v>
      </c>
      <c r="Q162" s="51" t="s">
        <v>309</v>
      </c>
      <c r="R162" s="29" t="s">
        <v>194</v>
      </c>
      <c r="S162" s="26" t="s">
        <v>197</v>
      </c>
      <c r="T162" s="26" t="s">
        <v>221</v>
      </c>
      <c r="U162" s="30" t="s">
        <v>199</v>
      </c>
      <c r="V162" s="30" t="s">
        <v>199</v>
      </c>
      <c r="W162" s="30" t="s">
        <v>199</v>
      </c>
      <c r="X162" s="30" t="s">
        <v>199</v>
      </c>
      <c r="Y162" s="26">
        <v>0.0</v>
      </c>
      <c r="Z162" s="30">
        <v>0.0</v>
      </c>
      <c r="AA162" s="30" t="s">
        <v>199</v>
      </c>
      <c r="AB162" s="30" t="s">
        <v>199</v>
      </c>
      <c r="AC162" s="30" t="s">
        <v>199</v>
      </c>
      <c r="AD162" s="30" t="s">
        <v>199</v>
      </c>
      <c r="AE162" s="30" t="s">
        <v>199</v>
      </c>
      <c r="AF162" s="30" t="s">
        <v>199</v>
      </c>
      <c r="AG162" s="30" t="s">
        <v>199</v>
      </c>
      <c r="AH162" s="26">
        <v>0.0</v>
      </c>
      <c r="AI162" s="30" t="s">
        <v>199</v>
      </c>
      <c r="AJ162" s="30">
        <v>0.0</v>
      </c>
      <c r="AK162" s="32"/>
      <c r="AL162" s="25"/>
      <c r="AM162" s="25"/>
      <c r="AN162" s="25"/>
      <c r="AO162" s="25"/>
      <c r="AP162" s="25"/>
    </row>
    <row r="163" ht="15.75" customHeight="1">
      <c r="A163" s="16" t="s">
        <v>1053</v>
      </c>
      <c r="B163" s="16">
        <v>2021.0</v>
      </c>
      <c r="C163" s="16" t="s">
        <v>925</v>
      </c>
      <c r="D163" s="16">
        <v>5.0</v>
      </c>
      <c r="E163" s="16">
        <v>48.0</v>
      </c>
      <c r="F163" s="16" t="s">
        <v>1193</v>
      </c>
      <c r="G163" s="16" t="s">
        <v>154</v>
      </c>
      <c r="H163" s="16">
        <v>7.0</v>
      </c>
      <c r="I163" s="16">
        <v>2.0</v>
      </c>
      <c r="J163" s="16">
        <v>619.0</v>
      </c>
      <c r="K163" s="49" t="s">
        <v>1191</v>
      </c>
      <c r="L163" s="49" t="s">
        <v>1192</v>
      </c>
      <c r="M163" s="16">
        <v>47.0</v>
      </c>
      <c r="N163" s="16" t="s">
        <v>19</v>
      </c>
      <c r="O163" s="16" t="s">
        <v>68</v>
      </c>
      <c r="P163" s="21">
        <v>0.47430555555555554</v>
      </c>
      <c r="Q163" s="52" t="s">
        <v>287</v>
      </c>
      <c r="R163" s="22" t="s">
        <v>666</v>
      </c>
      <c r="S163" s="16" t="s">
        <v>668</v>
      </c>
      <c r="T163" s="16" t="s">
        <v>221</v>
      </c>
      <c r="U163" s="16">
        <v>334.0</v>
      </c>
      <c r="V163" s="16">
        <v>277.0</v>
      </c>
      <c r="W163" s="16">
        <v>250.0</v>
      </c>
      <c r="X163" s="23" t="s">
        <v>199</v>
      </c>
      <c r="Y163" s="16">
        <v>1.0</v>
      </c>
      <c r="Z163" s="23">
        <v>0.0</v>
      </c>
      <c r="AA163" s="23" t="s">
        <v>199</v>
      </c>
      <c r="AB163" s="48" t="s">
        <v>1194</v>
      </c>
      <c r="AC163" s="23" t="s">
        <v>199</v>
      </c>
      <c r="AD163" s="23" t="s">
        <v>199</v>
      </c>
      <c r="AE163" s="23" t="s">
        <v>199</v>
      </c>
      <c r="AF163" s="23" t="s">
        <v>199</v>
      </c>
      <c r="AG163" s="16" t="s">
        <v>1195</v>
      </c>
      <c r="AH163" s="16">
        <v>0.0</v>
      </c>
      <c r="AI163" s="23" t="s">
        <v>199</v>
      </c>
      <c r="AJ163" s="23">
        <v>0.0</v>
      </c>
      <c r="AK163" s="24" t="s">
        <v>1196</v>
      </c>
      <c r="AL163" s="25"/>
      <c r="AM163" s="25"/>
      <c r="AN163" s="25"/>
      <c r="AO163" s="25"/>
      <c r="AP163" s="25"/>
    </row>
    <row r="164" ht="15.75" customHeight="1">
      <c r="A164" s="26" t="s">
        <v>1053</v>
      </c>
      <c r="B164" s="26">
        <v>2021.0</v>
      </c>
      <c r="C164" s="26" t="s">
        <v>925</v>
      </c>
      <c r="D164" s="26">
        <v>5.0</v>
      </c>
      <c r="E164" s="26">
        <v>49.0</v>
      </c>
      <c r="F164" s="26" t="s">
        <v>199</v>
      </c>
      <c r="G164" s="26" t="s">
        <v>154</v>
      </c>
      <c r="H164" s="26">
        <v>8.0</v>
      </c>
      <c r="I164" s="26">
        <v>2.0</v>
      </c>
      <c r="J164" s="26">
        <v>620.0</v>
      </c>
      <c r="K164" s="47" t="s">
        <v>1197</v>
      </c>
      <c r="L164" s="47" t="s">
        <v>1198</v>
      </c>
      <c r="M164" s="26">
        <v>45.0</v>
      </c>
      <c r="N164" s="26" t="s">
        <v>19</v>
      </c>
      <c r="O164" s="26" t="s">
        <v>68</v>
      </c>
      <c r="P164" s="28">
        <v>0.4986111111111111</v>
      </c>
      <c r="Q164" s="51" t="s">
        <v>309</v>
      </c>
      <c r="R164" s="29" t="s">
        <v>194</v>
      </c>
      <c r="S164" s="26" t="s">
        <v>197</v>
      </c>
      <c r="T164" s="26" t="s">
        <v>198</v>
      </c>
      <c r="U164" s="30" t="s">
        <v>199</v>
      </c>
      <c r="V164" s="30" t="s">
        <v>199</v>
      </c>
      <c r="W164" s="30" t="s">
        <v>199</v>
      </c>
      <c r="X164" s="30" t="s">
        <v>199</v>
      </c>
      <c r="Y164" s="26">
        <v>0.0</v>
      </c>
      <c r="Z164" s="30">
        <v>0.0</v>
      </c>
      <c r="AA164" s="30" t="s">
        <v>199</v>
      </c>
      <c r="AB164" s="30" t="s">
        <v>199</v>
      </c>
      <c r="AC164" s="30" t="s">
        <v>199</v>
      </c>
      <c r="AD164" s="30" t="s">
        <v>199</v>
      </c>
      <c r="AE164" s="30" t="s">
        <v>199</v>
      </c>
      <c r="AF164" s="30" t="s">
        <v>199</v>
      </c>
      <c r="AG164" s="30" t="s">
        <v>199</v>
      </c>
      <c r="AH164" s="26">
        <v>0.0</v>
      </c>
      <c r="AI164" s="30" t="s">
        <v>199</v>
      </c>
      <c r="AJ164" s="30">
        <v>0.0</v>
      </c>
      <c r="AK164" s="32"/>
      <c r="AL164" s="25"/>
      <c r="AM164" s="25"/>
      <c r="AN164" s="25"/>
      <c r="AO164" s="25"/>
      <c r="AP164" s="25"/>
    </row>
    <row r="165" ht="15.75" customHeight="1">
      <c r="A165" s="16" t="s">
        <v>1053</v>
      </c>
      <c r="B165" s="16">
        <v>2021.0</v>
      </c>
      <c r="C165" s="16" t="s">
        <v>925</v>
      </c>
      <c r="D165" s="16">
        <v>5.0</v>
      </c>
      <c r="E165" s="16">
        <v>50.0</v>
      </c>
      <c r="F165" s="16" t="s">
        <v>199</v>
      </c>
      <c r="G165" s="16" t="s">
        <v>154</v>
      </c>
      <c r="H165" s="16">
        <v>3.0</v>
      </c>
      <c r="I165" s="16">
        <v>3.0</v>
      </c>
      <c r="J165" s="16">
        <v>615.0</v>
      </c>
      <c r="K165" s="49" t="s">
        <v>1200</v>
      </c>
      <c r="L165" s="49" t="s">
        <v>1201</v>
      </c>
      <c r="M165" s="16">
        <v>49.0</v>
      </c>
      <c r="N165" s="16" t="s">
        <v>19</v>
      </c>
      <c r="O165" s="16" t="s">
        <v>68</v>
      </c>
      <c r="P165" s="21">
        <v>0.5902777777777778</v>
      </c>
      <c r="Q165" s="52" t="s">
        <v>309</v>
      </c>
      <c r="R165" s="22" t="s">
        <v>194</v>
      </c>
      <c r="S165" s="16" t="s">
        <v>197</v>
      </c>
      <c r="T165" s="16" t="s">
        <v>198</v>
      </c>
      <c r="U165" s="23" t="s">
        <v>199</v>
      </c>
      <c r="V165" s="23" t="s">
        <v>199</v>
      </c>
      <c r="W165" s="23" t="s">
        <v>199</v>
      </c>
      <c r="X165" s="23" t="s">
        <v>199</v>
      </c>
      <c r="Y165" s="16">
        <v>0.0</v>
      </c>
      <c r="Z165" s="23">
        <v>0.0</v>
      </c>
      <c r="AA165" s="23" t="s">
        <v>199</v>
      </c>
      <c r="AB165" s="23" t="s">
        <v>199</v>
      </c>
      <c r="AC165" s="23" t="s">
        <v>199</v>
      </c>
      <c r="AD165" s="23" t="s">
        <v>199</v>
      </c>
      <c r="AE165" s="23" t="s">
        <v>199</v>
      </c>
      <c r="AF165" s="23" t="s">
        <v>199</v>
      </c>
      <c r="AG165" s="23" t="s">
        <v>199</v>
      </c>
      <c r="AH165" s="16">
        <v>0.0</v>
      </c>
      <c r="AI165" s="23" t="s">
        <v>199</v>
      </c>
      <c r="AJ165" s="23">
        <v>0.0</v>
      </c>
      <c r="AK165" s="24"/>
      <c r="AL165" s="25"/>
      <c r="AM165" s="25"/>
      <c r="AN165" s="25"/>
      <c r="AO165" s="25"/>
      <c r="AP165" s="25"/>
    </row>
    <row r="166" ht="15.75" customHeight="1">
      <c r="A166" s="26" t="s">
        <v>1053</v>
      </c>
      <c r="B166" s="26">
        <v>2021.0</v>
      </c>
      <c r="C166" s="26" t="s">
        <v>925</v>
      </c>
      <c r="D166" s="26">
        <v>5.0</v>
      </c>
      <c r="E166" s="26">
        <v>51.0</v>
      </c>
      <c r="F166" s="26" t="s">
        <v>199</v>
      </c>
      <c r="G166" s="26" t="s">
        <v>154</v>
      </c>
      <c r="H166" s="26">
        <v>5.0</v>
      </c>
      <c r="I166" s="26">
        <v>3.0</v>
      </c>
      <c r="J166" s="26">
        <v>617.0</v>
      </c>
      <c r="K166" s="47" t="s">
        <v>1202</v>
      </c>
      <c r="L166" s="47" t="s">
        <v>1203</v>
      </c>
      <c r="M166" s="26">
        <v>47.0</v>
      </c>
      <c r="N166" s="26" t="s">
        <v>19</v>
      </c>
      <c r="O166" s="26" t="s">
        <v>68</v>
      </c>
      <c r="P166" s="28">
        <v>0.5951388888888889</v>
      </c>
      <c r="Q166" s="51" t="s">
        <v>287</v>
      </c>
      <c r="R166" s="29" t="s">
        <v>194</v>
      </c>
      <c r="S166" s="26" t="s">
        <v>197</v>
      </c>
      <c r="T166" s="26" t="s">
        <v>221</v>
      </c>
      <c r="U166" s="30" t="s">
        <v>199</v>
      </c>
      <c r="V166" s="30" t="s">
        <v>199</v>
      </c>
      <c r="W166" s="30" t="s">
        <v>199</v>
      </c>
      <c r="X166" s="30" t="s">
        <v>199</v>
      </c>
      <c r="Y166" s="26">
        <v>0.0</v>
      </c>
      <c r="Z166" s="30">
        <v>0.0</v>
      </c>
      <c r="AA166" s="30" t="s">
        <v>199</v>
      </c>
      <c r="AB166" s="30" t="s">
        <v>199</v>
      </c>
      <c r="AC166" s="30" t="s">
        <v>199</v>
      </c>
      <c r="AD166" s="30" t="s">
        <v>199</v>
      </c>
      <c r="AE166" s="30" t="s">
        <v>199</v>
      </c>
      <c r="AF166" s="30" t="s">
        <v>199</v>
      </c>
      <c r="AG166" s="30" t="s">
        <v>199</v>
      </c>
      <c r="AH166" s="26">
        <v>0.0</v>
      </c>
      <c r="AI166" s="30" t="s">
        <v>199</v>
      </c>
      <c r="AJ166" s="30">
        <v>0.0</v>
      </c>
      <c r="AK166" s="32"/>
      <c r="AL166" s="25"/>
      <c r="AM166" s="25"/>
      <c r="AN166" s="25"/>
      <c r="AO166" s="25"/>
      <c r="AP166" s="25"/>
    </row>
    <row r="167" ht="15.75" customHeight="1">
      <c r="A167" s="16" t="s">
        <v>1053</v>
      </c>
      <c r="B167" s="16">
        <v>2021.0</v>
      </c>
      <c r="C167" s="16" t="s">
        <v>925</v>
      </c>
      <c r="D167" s="16">
        <v>5.0</v>
      </c>
      <c r="E167" s="16">
        <v>52.0</v>
      </c>
      <c r="F167" s="16" t="s">
        <v>199</v>
      </c>
      <c r="G167" s="16" t="s">
        <v>154</v>
      </c>
      <c r="H167" s="16">
        <v>7.0</v>
      </c>
      <c r="I167" s="16">
        <v>3.0</v>
      </c>
      <c r="J167" s="16">
        <v>619.0</v>
      </c>
      <c r="K167" s="49" t="s">
        <v>1191</v>
      </c>
      <c r="L167" s="49" t="s">
        <v>1192</v>
      </c>
      <c r="M167" s="16">
        <v>47.0</v>
      </c>
      <c r="N167" s="16" t="s">
        <v>19</v>
      </c>
      <c r="O167" s="16" t="s">
        <v>68</v>
      </c>
      <c r="P167" s="21">
        <v>0.6006944444444444</v>
      </c>
      <c r="Q167" s="52" t="s">
        <v>287</v>
      </c>
      <c r="R167" s="22" t="s">
        <v>194</v>
      </c>
      <c r="S167" s="16" t="s">
        <v>197</v>
      </c>
      <c r="T167" s="16" t="s">
        <v>221</v>
      </c>
      <c r="U167" s="23" t="s">
        <v>199</v>
      </c>
      <c r="V167" s="23" t="s">
        <v>199</v>
      </c>
      <c r="W167" s="23" t="s">
        <v>199</v>
      </c>
      <c r="X167" s="23" t="s">
        <v>199</v>
      </c>
      <c r="Y167" s="16">
        <v>0.0</v>
      </c>
      <c r="Z167" s="23">
        <v>0.0</v>
      </c>
      <c r="AA167" s="23" t="s">
        <v>199</v>
      </c>
      <c r="AB167" s="23" t="s">
        <v>199</v>
      </c>
      <c r="AC167" s="23" t="s">
        <v>199</v>
      </c>
      <c r="AD167" s="23" t="s">
        <v>199</v>
      </c>
      <c r="AE167" s="23" t="s">
        <v>199</v>
      </c>
      <c r="AF167" s="23" t="s">
        <v>199</v>
      </c>
      <c r="AG167" s="23" t="s">
        <v>199</v>
      </c>
      <c r="AH167" s="16">
        <v>0.0</v>
      </c>
      <c r="AI167" s="23" t="s">
        <v>199</v>
      </c>
      <c r="AJ167" s="23">
        <v>0.0</v>
      </c>
      <c r="AK167" s="24" t="s">
        <v>1204</v>
      </c>
      <c r="AL167" s="25"/>
      <c r="AM167" s="25"/>
      <c r="AN167" s="25"/>
      <c r="AO167" s="25"/>
      <c r="AP167" s="25"/>
    </row>
    <row r="168" ht="15.75" customHeight="1">
      <c r="A168" s="26" t="s">
        <v>1053</v>
      </c>
      <c r="B168" s="26">
        <v>2021.0</v>
      </c>
      <c r="C168" s="26" t="s">
        <v>925</v>
      </c>
      <c r="D168" s="26">
        <v>5.0</v>
      </c>
      <c r="E168" s="26">
        <v>53.0</v>
      </c>
      <c r="F168" s="26" t="s">
        <v>199</v>
      </c>
      <c r="G168" s="26" t="s">
        <v>154</v>
      </c>
      <c r="H168" s="26">
        <v>8.0</v>
      </c>
      <c r="I168" s="26">
        <v>3.0</v>
      </c>
      <c r="J168" s="26">
        <v>620.0</v>
      </c>
      <c r="K168" s="47" t="s">
        <v>1197</v>
      </c>
      <c r="L168" s="47" t="s">
        <v>1198</v>
      </c>
      <c r="M168" s="26">
        <v>45.0</v>
      </c>
      <c r="N168" s="26" t="s">
        <v>19</v>
      </c>
      <c r="O168" s="26" t="s">
        <v>68</v>
      </c>
      <c r="P168" s="28">
        <v>0.6034722222222222</v>
      </c>
      <c r="Q168" s="51" t="s">
        <v>267</v>
      </c>
      <c r="R168" s="29" t="s">
        <v>194</v>
      </c>
      <c r="S168" s="26" t="s">
        <v>197</v>
      </c>
      <c r="T168" s="30" t="s">
        <v>176</v>
      </c>
      <c r="U168" s="30" t="s">
        <v>199</v>
      </c>
      <c r="V168" s="30" t="s">
        <v>199</v>
      </c>
      <c r="W168" s="30" t="s">
        <v>199</v>
      </c>
      <c r="X168" s="30" t="s">
        <v>199</v>
      </c>
      <c r="Y168" s="26">
        <v>0.0</v>
      </c>
      <c r="Z168" s="30">
        <v>0.0</v>
      </c>
      <c r="AA168" s="30" t="s">
        <v>199</v>
      </c>
      <c r="AB168" s="30" t="s">
        <v>199</v>
      </c>
      <c r="AC168" s="30" t="s">
        <v>199</v>
      </c>
      <c r="AD168" s="30" t="s">
        <v>199</v>
      </c>
      <c r="AE168" s="30" t="s">
        <v>199</v>
      </c>
      <c r="AF168" s="30" t="s">
        <v>199</v>
      </c>
      <c r="AG168" s="30" t="s">
        <v>199</v>
      </c>
      <c r="AH168" s="26">
        <v>0.0</v>
      </c>
      <c r="AI168" s="30" t="s">
        <v>199</v>
      </c>
      <c r="AJ168" s="30">
        <v>0.0</v>
      </c>
      <c r="AK168" s="32" t="s">
        <v>1208</v>
      </c>
      <c r="AL168" s="25"/>
      <c r="AM168" s="25"/>
      <c r="AN168" s="25"/>
      <c r="AO168" s="25"/>
      <c r="AP168" s="25"/>
    </row>
    <row r="169" ht="15.75" customHeight="1">
      <c r="A169" s="16" t="s">
        <v>1053</v>
      </c>
      <c r="B169" s="16">
        <v>2021.0</v>
      </c>
      <c r="C169" s="16" t="s">
        <v>925</v>
      </c>
      <c r="D169" s="16">
        <v>5.0</v>
      </c>
      <c r="E169" s="16">
        <v>54.0</v>
      </c>
      <c r="F169" s="16" t="s">
        <v>163</v>
      </c>
      <c r="G169" s="16" t="s">
        <v>154</v>
      </c>
      <c r="H169" s="16">
        <v>4.0</v>
      </c>
      <c r="I169" s="16">
        <v>4.0</v>
      </c>
      <c r="J169" s="16">
        <v>616.0</v>
      </c>
      <c r="K169" s="49" t="s">
        <v>1210</v>
      </c>
      <c r="L169" s="49" t="s">
        <v>1211</v>
      </c>
      <c r="M169" s="16">
        <v>44.0</v>
      </c>
      <c r="N169" s="16" t="s">
        <v>19</v>
      </c>
      <c r="O169" s="16" t="s">
        <v>68</v>
      </c>
      <c r="P169" s="21">
        <v>0.65</v>
      </c>
      <c r="Q169" s="52" t="s">
        <v>287</v>
      </c>
      <c r="R169" s="22" t="s">
        <v>666</v>
      </c>
      <c r="S169" s="16" t="s">
        <v>668</v>
      </c>
      <c r="T169" s="16" t="s">
        <v>221</v>
      </c>
      <c r="U169" s="16">
        <v>251.0</v>
      </c>
      <c r="V169" s="16">
        <v>242.0</v>
      </c>
      <c r="W169" s="16">
        <v>218.0</v>
      </c>
      <c r="X169" s="16">
        <v>127.0</v>
      </c>
      <c r="Y169" s="16">
        <v>1.0</v>
      </c>
      <c r="Z169" s="23">
        <v>1.0</v>
      </c>
      <c r="AA169" s="23" t="s">
        <v>199</v>
      </c>
      <c r="AB169" s="23" t="s">
        <v>199</v>
      </c>
      <c r="AC169" s="23" t="s">
        <v>199</v>
      </c>
      <c r="AD169" s="23" t="s">
        <v>199</v>
      </c>
      <c r="AE169" s="16" t="s">
        <v>1215</v>
      </c>
      <c r="AF169" s="16">
        <v>220670.0</v>
      </c>
      <c r="AG169" s="16" t="s">
        <v>1216</v>
      </c>
      <c r="AH169" s="16">
        <v>0.0</v>
      </c>
      <c r="AI169" s="23" t="s">
        <v>199</v>
      </c>
      <c r="AJ169" s="23">
        <v>0.0</v>
      </c>
      <c r="AK169" s="54" t="s">
        <v>1217</v>
      </c>
      <c r="AL169" s="25"/>
      <c r="AM169" s="25"/>
      <c r="AN169" s="25"/>
      <c r="AO169" s="25"/>
      <c r="AP169" s="25"/>
    </row>
    <row r="170" ht="15.75" customHeight="1">
      <c r="A170" s="26" t="s">
        <v>1053</v>
      </c>
      <c r="B170" s="26">
        <v>2021.0</v>
      </c>
      <c r="C170" s="26" t="s">
        <v>925</v>
      </c>
      <c r="D170" s="26">
        <v>5.0</v>
      </c>
      <c r="E170" s="26">
        <v>55.0</v>
      </c>
      <c r="F170" s="26" t="s">
        <v>199</v>
      </c>
      <c r="G170" s="26" t="s">
        <v>154</v>
      </c>
      <c r="H170" s="26">
        <v>5.0</v>
      </c>
      <c r="I170" s="26">
        <v>4.0</v>
      </c>
      <c r="J170" s="26">
        <v>617.0</v>
      </c>
      <c r="K170" s="47" t="s">
        <v>1202</v>
      </c>
      <c r="L170" s="47" t="s">
        <v>1203</v>
      </c>
      <c r="M170" s="26">
        <v>47.0</v>
      </c>
      <c r="N170" s="26" t="s">
        <v>19</v>
      </c>
      <c r="O170" s="26" t="s">
        <v>68</v>
      </c>
      <c r="P170" s="28">
        <v>0.6979166666666666</v>
      </c>
      <c r="Q170" s="51" t="s">
        <v>287</v>
      </c>
      <c r="R170" s="29" t="s">
        <v>666</v>
      </c>
      <c r="S170" s="26" t="s">
        <v>668</v>
      </c>
      <c r="T170" s="26" t="s">
        <v>221</v>
      </c>
      <c r="U170" s="30" t="s">
        <v>199</v>
      </c>
      <c r="V170" s="30" t="s">
        <v>199</v>
      </c>
      <c r="W170" s="30" t="s">
        <v>199</v>
      </c>
      <c r="X170" s="30" t="s">
        <v>199</v>
      </c>
      <c r="Y170" s="26">
        <v>0.0</v>
      </c>
      <c r="Z170" s="30">
        <v>0.0</v>
      </c>
      <c r="AA170" s="30" t="s">
        <v>199</v>
      </c>
      <c r="AB170" s="30" t="s">
        <v>199</v>
      </c>
      <c r="AC170" s="30" t="s">
        <v>199</v>
      </c>
      <c r="AD170" s="30" t="s">
        <v>199</v>
      </c>
      <c r="AE170" s="30" t="s">
        <v>199</v>
      </c>
      <c r="AF170" s="30" t="s">
        <v>199</v>
      </c>
      <c r="AG170" s="30" t="s">
        <v>199</v>
      </c>
      <c r="AH170" s="26">
        <v>0.0</v>
      </c>
      <c r="AI170" s="30" t="s">
        <v>199</v>
      </c>
      <c r="AJ170" s="30">
        <v>0.0</v>
      </c>
      <c r="AK170" s="32"/>
      <c r="AL170" s="25"/>
      <c r="AM170" s="25"/>
      <c r="AN170" s="25"/>
      <c r="AO170" s="25"/>
      <c r="AP170" s="25"/>
    </row>
    <row r="171" ht="15.75" customHeight="1">
      <c r="A171" s="16" t="s">
        <v>1053</v>
      </c>
      <c r="B171" s="16">
        <v>2021.0</v>
      </c>
      <c r="C171" s="16" t="s">
        <v>925</v>
      </c>
      <c r="D171" s="16">
        <v>5.0</v>
      </c>
      <c r="E171" s="16">
        <v>56.0</v>
      </c>
      <c r="F171" s="16" t="s">
        <v>199</v>
      </c>
      <c r="G171" s="16" t="s">
        <v>154</v>
      </c>
      <c r="H171" s="16">
        <v>7.0</v>
      </c>
      <c r="I171" s="16">
        <v>4.0</v>
      </c>
      <c r="J171" s="16">
        <v>619.0</v>
      </c>
      <c r="K171" s="49" t="s">
        <v>1191</v>
      </c>
      <c r="L171" s="49" t="s">
        <v>1192</v>
      </c>
      <c r="M171" s="16">
        <v>47.0</v>
      </c>
      <c r="N171" s="16" t="s">
        <v>19</v>
      </c>
      <c r="O171" s="16" t="s">
        <v>68</v>
      </c>
      <c r="P171" s="21">
        <v>0.7020833333333333</v>
      </c>
      <c r="Q171" s="52" t="s">
        <v>309</v>
      </c>
      <c r="R171" s="22" t="s">
        <v>194</v>
      </c>
      <c r="S171" s="16" t="s">
        <v>197</v>
      </c>
      <c r="T171" s="16" t="s">
        <v>221</v>
      </c>
      <c r="U171" s="23" t="s">
        <v>199</v>
      </c>
      <c r="V171" s="23" t="s">
        <v>199</v>
      </c>
      <c r="W171" s="23" t="s">
        <v>199</v>
      </c>
      <c r="X171" s="23" t="s">
        <v>199</v>
      </c>
      <c r="Y171" s="16">
        <v>0.0</v>
      </c>
      <c r="Z171" s="23">
        <v>0.0</v>
      </c>
      <c r="AA171" s="23" t="s">
        <v>199</v>
      </c>
      <c r="AB171" s="23" t="s">
        <v>199</v>
      </c>
      <c r="AC171" s="23" t="s">
        <v>199</v>
      </c>
      <c r="AD171" s="23" t="s">
        <v>199</v>
      </c>
      <c r="AE171" s="23" t="s">
        <v>199</v>
      </c>
      <c r="AF171" s="23" t="s">
        <v>199</v>
      </c>
      <c r="AG171" s="23" t="s">
        <v>199</v>
      </c>
      <c r="AH171" s="16">
        <v>0.0</v>
      </c>
      <c r="AI171" s="23" t="s">
        <v>199</v>
      </c>
      <c r="AJ171" s="23">
        <v>0.0</v>
      </c>
      <c r="AK171" s="24"/>
      <c r="AL171" s="25"/>
      <c r="AM171" s="25"/>
      <c r="AN171" s="25"/>
      <c r="AO171" s="25"/>
      <c r="AP171" s="25"/>
    </row>
    <row r="172" ht="15.75" customHeight="1">
      <c r="A172" s="26" t="s">
        <v>256</v>
      </c>
      <c r="B172" s="26">
        <v>2022.0</v>
      </c>
      <c r="C172" s="26" t="s">
        <v>400</v>
      </c>
      <c r="D172" s="26">
        <v>18.0</v>
      </c>
      <c r="E172" s="26">
        <v>1.0</v>
      </c>
      <c r="F172" s="26" t="s">
        <v>1230</v>
      </c>
      <c r="G172" s="26" t="s">
        <v>1231</v>
      </c>
      <c r="H172" s="26">
        <v>1.0</v>
      </c>
      <c r="I172" s="26">
        <v>1.0</v>
      </c>
      <c r="J172" s="26" t="s">
        <v>1232</v>
      </c>
      <c r="K172" s="47" t="s">
        <v>1233</v>
      </c>
      <c r="L172" s="47" t="s">
        <v>1235</v>
      </c>
      <c r="M172" s="26">
        <v>18.0</v>
      </c>
      <c r="N172" s="26" t="s">
        <v>19</v>
      </c>
      <c r="O172" s="26" t="s">
        <v>68</v>
      </c>
      <c r="P172" s="28">
        <v>0.5736111111111112</v>
      </c>
      <c r="Q172" s="51" t="s">
        <v>267</v>
      </c>
      <c r="R172" s="29" t="s">
        <v>194</v>
      </c>
      <c r="S172" s="26" t="s">
        <v>197</v>
      </c>
      <c r="T172" s="26" t="s">
        <v>221</v>
      </c>
      <c r="U172" s="26">
        <v>87.0</v>
      </c>
      <c r="V172" s="26">
        <v>67.0</v>
      </c>
      <c r="W172" s="26">
        <v>60.0</v>
      </c>
      <c r="X172" s="30" t="s">
        <v>199</v>
      </c>
      <c r="Y172" s="26">
        <v>0.0</v>
      </c>
      <c r="Z172" s="30">
        <v>0.0</v>
      </c>
      <c r="AA172" s="30" t="s">
        <v>199</v>
      </c>
      <c r="AB172" s="46" t="s">
        <v>1237</v>
      </c>
      <c r="AC172" s="30" t="s">
        <v>199</v>
      </c>
      <c r="AD172" s="30" t="s">
        <v>199</v>
      </c>
      <c r="AE172" s="30" t="s">
        <v>199</v>
      </c>
      <c r="AF172" s="30" t="s">
        <v>199</v>
      </c>
      <c r="AG172" s="30" t="s">
        <v>199</v>
      </c>
      <c r="AH172" s="30">
        <v>0.0</v>
      </c>
      <c r="AI172" s="30" t="s">
        <v>199</v>
      </c>
      <c r="AJ172" s="30">
        <v>0.0</v>
      </c>
      <c r="AK172" s="32"/>
      <c r="AL172" s="25"/>
      <c r="AM172" s="25"/>
      <c r="AN172" s="25"/>
      <c r="AO172" s="25"/>
      <c r="AP172" s="25"/>
    </row>
    <row r="173" ht="15.75" customHeight="1">
      <c r="A173" s="16" t="s">
        <v>256</v>
      </c>
      <c r="B173" s="16">
        <v>2022.0</v>
      </c>
      <c r="C173" s="16" t="s">
        <v>400</v>
      </c>
      <c r="D173" s="16">
        <v>18.0</v>
      </c>
      <c r="E173" s="16">
        <v>2.0</v>
      </c>
      <c r="F173" s="16" t="s">
        <v>1238</v>
      </c>
      <c r="G173" s="16" t="s">
        <v>1231</v>
      </c>
      <c r="H173" s="16">
        <v>1.0</v>
      </c>
      <c r="I173" s="16">
        <v>2.0</v>
      </c>
      <c r="J173" s="16" t="s">
        <v>1232</v>
      </c>
      <c r="K173" s="49" t="s">
        <v>1233</v>
      </c>
      <c r="L173" s="49" t="s">
        <v>1235</v>
      </c>
      <c r="M173" s="16">
        <v>18.0</v>
      </c>
      <c r="N173" s="16" t="s">
        <v>19</v>
      </c>
      <c r="O173" s="16" t="s">
        <v>68</v>
      </c>
      <c r="P173" s="21">
        <v>0.5805555555555556</v>
      </c>
      <c r="Q173" s="52" t="s">
        <v>267</v>
      </c>
      <c r="R173" s="22" t="s">
        <v>194</v>
      </c>
      <c r="S173" s="16" t="s">
        <v>197</v>
      </c>
      <c r="T173" s="16" t="s">
        <v>221</v>
      </c>
      <c r="U173" s="16">
        <v>132.0</v>
      </c>
      <c r="V173" s="16">
        <v>101.0</v>
      </c>
      <c r="W173" s="16">
        <v>94.0</v>
      </c>
      <c r="X173" s="23" t="s">
        <v>199</v>
      </c>
      <c r="Y173" s="16">
        <v>1.0</v>
      </c>
      <c r="Z173" s="23">
        <v>0.0</v>
      </c>
      <c r="AA173" s="23" t="s">
        <v>199</v>
      </c>
      <c r="AB173" s="48" t="s">
        <v>1249</v>
      </c>
      <c r="AC173" s="56">
        <v>3855.0</v>
      </c>
      <c r="AD173" s="56">
        <v>1540728.0</v>
      </c>
      <c r="AE173" s="23" t="s">
        <v>199</v>
      </c>
      <c r="AF173" s="23" t="s">
        <v>199</v>
      </c>
      <c r="AG173" s="23" t="s">
        <v>199</v>
      </c>
      <c r="AH173" s="23">
        <v>0.0</v>
      </c>
      <c r="AI173" s="23" t="s">
        <v>199</v>
      </c>
      <c r="AJ173" s="23">
        <v>0.0</v>
      </c>
      <c r="AK173" s="24"/>
      <c r="AL173" s="25"/>
      <c r="AM173" s="25"/>
      <c r="AN173" s="25"/>
      <c r="AO173" s="25"/>
      <c r="AP173" s="25"/>
    </row>
    <row r="174" ht="15.75" customHeight="1">
      <c r="A174" s="26" t="s">
        <v>256</v>
      </c>
      <c r="B174" s="26">
        <v>2022.0</v>
      </c>
      <c r="C174" s="26" t="s">
        <v>400</v>
      </c>
      <c r="D174" s="26">
        <v>18.0</v>
      </c>
      <c r="E174" s="26">
        <v>3.0</v>
      </c>
      <c r="F174" s="26" t="s">
        <v>1256</v>
      </c>
      <c r="G174" s="26" t="s">
        <v>1231</v>
      </c>
      <c r="H174" s="26">
        <v>1.0</v>
      </c>
      <c r="I174" s="26">
        <v>4.0</v>
      </c>
      <c r="J174" s="26" t="s">
        <v>1232</v>
      </c>
      <c r="K174" s="47" t="s">
        <v>1233</v>
      </c>
      <c r="L174" s="47" t="s">
        <v>1235</v>
      </c>
      <c r="M174" s="26">
        <v>18.0</v>
      </c>
      <c r="N174" s="26" t="s">
        <v>19</v>
      </c>
      <c r="O174" s="26" t="s">
        <v>68</v>
      </c>
      <c r="P174" s="28">
        <v>0.638888888888889</v>
      </c>
      <c r="Q174" s="51" t="s">
        <v>287</v>
      </c>
      <c r="R174" s="29" t="s">
        <v>194</v>
      </c>
      <c r="S174" s="26" t="s">
        <v>197</v>
      </c>
      <c r="T174" s="26" t="s">
        <v>198</v>
      </c>
      <c r="U174" s="26">
        <v>94.0</v>
      </c>
      <c r="V174" s="26">
        <v>75.0</v>
      </c>
      <c r="W174" s="26">
        <v>66.0</v>
      </c>
      <c r="X174" s="30" t="s">
        <v>199</v>
      </c>
      <c r="Y174" s="26">
        <v>1.0</v>
      </c>
      <c r="Z174" s="30">
        <v>0.0</v>
      </c>
      <c r="AA174" s="30" t="s">
        <v>199</v>
      </c>
      <c r="AB174" s="46" t="s">
        <v>1259</v>
      </c>
      <c r="AC174" s="57">
        <v>3852.0</v>
      </c>
      <c r="AD174" s="57">
        <v>1540725.0</v>
      </c>
      <c r="AE174" s="30" t="s">
        <v>199</v>
      </c>
      <c r="AF174" s="30" t="s">
        <v>199</v>
      </c>
      <c r="AG174" s="30" t="s">
        <v>199</v>
      </c>
      <c r="AH174" s="30">
        <v>0.0</v>
      </c>
      <c r="AI174" s="30" t="s">
        <v>199</v>
      </c>
      <c r="AJ174" s="30">
        <v>0.0</v>
      </c>
      <c r="AK174" s="32"/>
      <c r="AL174" s="25"/>
      <c r="AM174" s="25"/>
      <c r="AN174" s="25"/>
      <c r="AO174" s="25"/>
      <c r="AP174" s="25"/>
    </row>
    <row r="175" ht="15.75" customHeight="1">
      <c r="A175" s="16" t="s">
        <v>256</v>
      </c>
      <c r="B175" s="16">
        <v>2022.0</v>
      </c>
      <c r="C175" s="16" t="s">
        <v>400</v>
      </c>
      <c r="D175" s="16">
        <v>18.0</v>
      </c>
      <c r="E175" s="16">
        <v>4.0</v>
      </c>
      <c r="F175" s="16" t="s">
        <v>379</v>
      </c>
      <c r="G175" s="16" t="s">
        <v>1231</v>
      </c>
      <c r="H175" s="16">
        <v>2.0</v>
      </c>
      <c r="I175" s="16">
        <v>8.0</v>
      </c>
      <c r="J175" s="16" t="s">
        <v>1232</v>
      </c>
      <c r="K175" s="49" t="s">
        <v>1233</v>
      </c>
      <c r="L175" s="49" t="s">
        <v>1235</v>
      </c>
      <c r="M175" s="16">
        <v>18.0</v>
      </c>
      <c r="N175" s="16" t="s">
        <v>19</v>
      </c>
      <c r="O175" s="16" t="s">
        <v>68</v>
      </c>
      <c r="P175" s="21">
        <v>0.6486111111111111</v>
      </c>
      <c r="Q175" s="52" t="s">
        <v>267</v>
      </c>
      <c r="R175" s="22" t="s">
        <v>194</v>
      </c>
      <c r="S175" s="16" t="s">
        <v>197</v>
      </c>
      <c r="T175" s="16" t="s">
        <v>221</v>
      </c>
      <c r="U175" s="16">
        <v>102.0</v>
      </c>
      <c r="V175" s="16">
        <v>82.0</v>
      </c>
      <c r="W175" s="16">
        <v>74.0</v>
      </c>
      <c r="X175" s="23" t="s">
        <v>199</v>
      </c>
      <c r="Y175" s="16">
        <v>1.0</v>
      </c>
      <c r="Z175" s="23">
        <v>0.0</v>
      </c>
      <c r="AA175" s="23" t="s">
        <v>199</v>
      </c>
      <c r="AB175" s="48" t="s">
        <v>1261</v>
      </c>
      <c r="AC175" s="56">
        <v>3853.0</v>
      </c>
      <c r="AD175" s="56">
        <v>1540726.0</v>
      </c>
      <c r="AE175" s="23" t="s">
        <v>199</v>
      </c>
      <c r="AF175" s="23" t="s">
        <v>199</v>
      </c>
      <c r="AG175" s="23" t="s">
        <v>199</v>
      </c>
      <c r="AH175" s="23">
        <v>0.0</v>
      </c>
      <c r="AI175" s="23" t="s">
        <v>199</v>
      </c>
      <c r="AJ175" s="23">
        <v>0.0</v>
      </c>
      <c r="AK175" s="24"/>
      <c r="AL175" s="25"/>
      <c r="AM175" s="25"/>
      <c r="AN175" s="25"/>
      <c r="AO175" s="25"/>
      <c r="AP175" s="25"/>
    </row>
    <row r="176" ht="15.75" customHeight="1">
      <c r="A176" s="26" t="s">
        <v>256</v>
      </c>
      <c r="B176" s="26">
        <v>2022.0</v>
      </c>
      <c r="C176" s="26" t="s">
        <v>400</v>
      </c>
      <c r="D176" s="26">
        <v>19.0</v>
      </c>
      <c r="E176" s="26">
        <v>5.0</v>
      </c>
      <c r="F176" s="26" t="s">
        <v>1265</v>
      </c>
      <c r="G176" s="26" t="s">
        <v>1231</v>
      </c>
      <c r="H176" s="26">
        <v>3.0</v>
      </c>
      <c r="I176" s="26">
        <v>1.0</v>
      </c>
      <c r="J176" s="26" t="s">
        <v>199</v>
      </c>
      <c r="K176" s="47" t="s">
        <v>1267</v>
      </c>
      <c r="L176" s="47" t="s">
        <v>1269</v>
      </c>
      <c r="M176" s="26">
        <v>42.0</v>
      </c>
      <c r="N176" s="26" t="s">
        <v>19</v>
      </c>
      <c r="O176" s="26" t="s">
        <v>68</v>
      </c>
      <c r="P176" s="28">
        <v>0.4909722222222222</v>
      </c>
      <c r="Q176" s="51" t="s">
        <v>287</v>
      </c>
      <c r="R176" s="29" t="s">
        <v>194</v>
      </c>
      <c r="S176" s="26" t="s">
        <v>197</v>
      </c>
      <c r="T176" s="26" t="s">
        <v>221</v>
      </c>
      <c r="U176" s="26">
        <v>125.0</v>
      </c>
      <c r="V176" s="26">
        <v>102.0</v>
      </c>
      <c r="W176" s="26">
        <v>91.0</v>
      </c>
      <c r="X176" s="30" t="s">
        <v>199</v>
      </c>
      <c r="Y176" s="26">
        <v>1.0</v>
      </c>
      <c r="Z176" s="30">
        <v>0.0</v>
      </c>
      <c r="AA176" s="30" t="s">
        <v>199</v>
      </c>
      <c r="AB176" s="46" t="s">
        <v>1271</v>
      </c>
      <c r="AC176" s="57">
        <v>3854.0</v>
      </c>
      <c r="AD176" s="57">
        <v>1540727.0</v>
      </c>
      <c r="AE176" s="30" t="s">
        <v>199</v>
      </c>
      <c r="AF176" s="30" t="s">
        <v>199</v>
      </c>
      <c r="AG176" s="30" t="s">
        <v>199</v>
      </c>
      <c r="AH176" s="30">
        <v>0.0</v>
      </c>
      <c r="AI176" s="30" t="s">
        <v>199</v>
      </c>
      <c r="AJ176" s="30">
        <v>0.0</v>
      </c>
      <c r="AK176" s="32"/>
      <c r="AL176" s="25"/>
      <c r="AM176" s="25"/>
      <c r="AN176" s="25"/>
      <c r="AO176" s="25"/>
      <c r="AP176" s="25"/>
    </row>
    <row r="177" ht="15.75" customHeight="1">
      <c r="A177" s="16" t="s">
        <v>256</v>
      </c>
      <c r="B177" s="16">
        <v>2022.0</v>
      </c>
      <c r="C177" s="16" t="s">
        <v>400</v>
      </c>
      <c r="D177" s="16">
        <v>19.0</v>
      </c>
      <c r="E177" s="16">
        <v>6.0</v>
      </c>
      <c r="F177" s="16" t="s">
        <v>1275</v>
      </c>
      <c r="G177" s="16" t="s">
        <v>1231</v>
      </c>
      <c r="H177" s="16">
        <v>1.0</v>
      </c>
      <c r="I177" s="16">
        <v>2.0</v>
      </c>
      <c r="J177" s="16" t="s">
        <v>199</v>
      </c>
      <c r="K177" s="49" t="s">
        <v>1267</v>
      </c>
      <c r="L177" s="49" t="s">
        <v>1269</v>
      </c>
      <c r="M177" s="16">
        <v>42.0</v>
      </c>
      <c r="N177" s="16" t="s">
        <v>19</v>
      </c>
      <c r="O177" s="16" t="s">
        <v>68</v>
      </c>
      <c r="P177" s="21">
        <v>0.4979166666666666</v>
      </c>
      <c r="Q177" s="52" t="s">
        <v>267</v>
      </c>
      <c r="R177" s="22" t="s">
        <v>194</v>
      </c>
      <c r="S177" s="16" t="s">
        <v>197</v>
      </c>
      <c r="T177" s="16" t="s">
        <v>198</v>
      </c>
      <c r="U177" s="16">
        <v>131.0</v>
      </c>
      <c r="V177" s="16">
        <v>106.0</v>
      </c>
      <c r="W177" s="16">
        <v>94.0</v>
      </c>
      <c r="X177" s="23" t="s">
        <v>199</v>
      </c>
      <c r="Y177" s="16">
        <v>1.0</v>
      </c>
      <c r="Z177" s="23">
        <v>0.0</v>
      </c>
      <c r="AA177" s="23" t="s">
        <v>199</v>
      </c>
      <c r="AB177" s="48" t="s">
        <v>1278</v>
      </c>
      <c r="AC177" s="56">
        <v>54911.0</v>
      </c>
      <c r="AD177" s="56">
        <v>1540723.0</v>
      </c>
      <c r="AE177" s="23" t="s">
        <v>199</v>
      </c>
      <c r="AF177" s="23" t="s">
        <v>199</v>
      </c>
      <c r="AG177" s="23" t="s">
        <v>199</v>
      </c>
      <c r="AH177" s="23">
        <v>0.0</v>
      </c>
      <c r="AI177" s="23" t="s">
        <v>199</v>
      </c>
      <c r="AJ177" s="23">
        <v>0.0</v>
      </c>
      <c r="AK177" s="24"/>
      <c r="AL177" s="25"/>
      <c r="AM177" s="25"/>
      <c r="AN177" s="25"/>
      <c r="AO177" s="25"/>
      <c r="AP177" s="25"/>
    </row>
    <row r="178" ht="15.75" customHeight="1">
      <c r="A178" s="26" t="s">
        <v>256</v>
      </c>
      <c r="B178" s="26">
        <v>2022.0</v>
      </c>
      <c r="C178" s="26" t="s">
        <v>400</v>
      </c>
      <c r="D178" s="26">
        <v>19.0</v>
      </c>
      <c r="E178" s="26">
        <v>7.0</v>
      </c>
      <c r="F178" s="26" t="s">
        <v>1282</v>
      </c>
      <c r="G178" s="26" t="s">
        <v>1231</v>
      </c>
      <c r="H178" s="26">
        <v>1.0</v>
      </c>
      <c r="I178" s="26">
        <v>2.0</v>
      </c>
      <c r="J178" s="26" t="s">
        <v>199</v>
      </c>
      <c r="K178" s="47" t="s">
        <v>1267</v>
      </c>
      <c r="L178" s="47" t="s">
        <v>1269</v>
      </c>
      <c r="M178" s="26">
        <v>42.0</v>
      </c>
      <c r="N178" s="26" t="s">
        <v>19</v>
      </c>
      <c r="O178" s="26" t="s">
        <v>68</v>
      </c>
      <c r="P178" s="28">
        <v>0.5090277777777777</v>
      </c>
      <c r="Q178" s="51" t="s">
        <v>267</v>
      </c>
      <c r="R178" s="29" t="s">
        <v>194</v>
      </c>
      <c r="S178" s="26" t="s">
        <v>197</v>
      </c>
      <c r="T178" s="26" t="s">
        <v>221</v>
      </c>
      <c r="U178" s="26">
        <v>128.0</v>
      </c>
      <c r="V178" s="26">
        <v>102.0</v>
      </c>
      <c r="W178" s="26">
        <v>91.0</v>
      </c>
      <c r="X178" s="30" t="s">
        <v>199</v>
      </c>
      <c r="Y178" s="26">
        <v>1.0</v>
      </c>
      <c r="Z178" s="30">
        <v>0.0</v>
      </c>
      <c r="AA178" s="30" t="s">
        <v>199</v>
      </c>
      <c r="AB178" s="46" t="s">
        <v>1286</v>
      </c>
      <c r="AC178" s="30" t="s">
        <v>199</v>
      </c>
      <c r="AD178" s="30" t="s">
        <v>199</v>
      </c>
      <c r="AE178" s="30" t="s">
        <v>199</v>
      </c>
      <c r="AF178" s="30" t="s">
        <v>199</v>
      </c>
      <c r="AG178" s="30" t="s">
        <v>199</v>
      </c>
      <c r="AH178" s="30">
        <v>0.0</v>
      </c>
      <c r="AI178" s="30" t="s">
        <v>199</v>
      </c>
      <c r="AJ178" s="30">
        <v>0.0</v>
      </c>
      <c r="AK178" s="32"/>
      <c r="AL178" s="25"/>
      <c r="AM178" s="25"/>
      <c r="AN178" s="25"/>
      <c r="AO178" s="25"/>
      <c r="AP178" s="25"/>
    </row>
    <row r="179" ht="15.75" customHeight="1">
      <c r="A179" s="16" t="s">
        <v>256</v>
      </c>
      <c r="B179" s="16">
        <v>2022.0</v>
      </c>
      <c r="C179" s="16" t="s">
        <v>400</v>
      </c>
      <c r="D179" s="16">
        <v>19.0</v>
      </c>
      <c r="E179" s="16">
        <v>8.0</v>
      </c>
      <c r="F179" s="16" t="s">
        <v>1288</v>
      </c>
      <c r="G179" s="16" t="s">
        <v>1231</v>
      </c>
      <c r="H179" s="16">
        <v>3.0</v>
      </c>
      <c r="I179" s="16">
        <v>5.0</v>
      </c>
      <c r="J179" s="16" t="s">
        <v>199</v>
      </c>
      <c r="K179" s="49" t="s">
        <v>1267</v>
      </c>
      <c r="L179" s="49" t="s">
        <v>1269</v>
      </c>
      <c r="M179" s="16">
        <v>42.0</v>
      </c>
      <c r="N179" s="16" t="s">
        <v>19</v>
      </c>
      <c r="O179" s="16" t="s">
        <v>68</v>
      </c>
      <c r="P179" s="21">
        <v>0.5625</v>
      </c>
      <c r="Q179" s="52" t="s">
        <v>287</v>
      </c>
      <c r="R179" s="22" t="s">
        <v>194</v>
      </c>
      <c r="S179" s="16" t="s">
        <v>197</v>
      </c>
      <c r="T179" s="16" t="s">
        <v>221</v>
      </c>
      <c r="U179" s="16">
        <v>163.0</v>
      </c>
      <c r="V179" s="16">
        <v>136.0</v>
      </c>
      <c r="W179" s="16">
        <v>120.0</v>
      </c>
      <c r="X179" s="23" t="s">
        <v>199</v>
      </c>
      <c r="Y179" s="16">
        <v>1.0</v>
      </c>
      <c r="Z179" s="23">
        <v>0.0</v>
      </c>
      <c r="AA179" s="23" t="s">
        <v>199</v>
      </c>
      <c r="AB179" s="48" t="s">
        <v>1289</v>
      </c>
      <c r="AC179" s="56">
        <v>54912.0</v>
      </c>
      <c r="AD179" s="56">
        <v>154724.0</v>
      </c>
      <c r="AE179" s="23" t="s">
        <v>199</v>
      </c>
      <c r="AF179" s="23" t="s">
        <v>199</v>
      </c>
      <c r="AG179" s="23" t="s">
        <v>199</v>
      </c>
      <c r="AH179" s="23">
        <v>0.0</v>
      </c>
      <c r="AI179" s="23" t="s">
        <v>199</v>
      </c>
      <c r="AJ179" s="23">
        <v>0.0</v>
      </c>
      <c r="AK179" s="24"/>
      <c r="AL179" s="25"/>
      <c r="AM179" s="25"/>
      <c r="AN179" s="25"/>
      <c r="AO179" s="25"/>
      <c r="AP179" s="25"/>
    </row>
    <row r="180" ht="15.75" customHeight="1">
      <c r="A180" s="26" t="s">
        <v>256</v>
      </c>
      <c r="B180" s="26">
        <v>2022.0</v>
      </c>
      <c r="C180" s="26" t="s">
        <v>400</v>
      </c>
      <c r="D180" s="26">
        <v>19.0</v>
      </c>
      <c r="E180" s="26">
        <v>9.0</v>
      </c>
      <c r="F180" s="26" t="s">
        <v>1290</v>
      </c>
      <c r="G180" s="26" t="s">
        <v>1231</v>
      </c>
      <c r="H180" s="26">
        <v>3.0</v>
      </c>
      <c r="I180" s="26">
        <v>5.0</v>
      </c>
      <c r="J180" s="26" t="s">
        <v>199</v>
      </c>
      <c r="K180" s="47" t="s">
        <v>1267</v>
      </c>
      <c r="L180" s="47" t="s">
        <v>1269</v>
      </c>
      <c r="M180" s="26">
        <v>42.0</v>
      </c>
      <c r="N180" s="26" t="s">
        <v>19</v>
      </c>
      <c r="O180" s="26" t="s">
        <v>68</v>
      </c>
      <c r="P180" s="28">
        <v>0.6055555555555555</v>
      </c>
      <c r="Q180" s="51" t="s">
        <v>287</v>
      </c>
      <c r="R180" s="29" t="s">
        <v>194</v>
      </c>
      <c r="S180" s="26" t="s">
        <v>197</v>
      </c>
      <c r="T180" s="26" t="s">
        <v>221</v>
      </c>
      <c r="U180" s="26">
        <v>126.0</v>
      </c>
      <c r="V180" s="26">
        <v>102.0</v>
      </c>
      <c r="W180" s="26">
        <v>91.0</v>
      </c>
      <c r="X180" s="30" t="s">
        <v>199</v>
      </c>
      <c r="Y180" s="26">
        <v>1.0</v>
      </c>
      <c r="Z180" s="30">
        <v>0.0</v>
      </c>
      <c r="AA180" s="30" t="s">
        <v>199</v>
      </c>
      <c r="AB180" s="46" t="s">
        <v>1291</v>
      </c>
      <c r="AC180" s="30" t="s">
        <v>199</v>
      </c>
      <c r="AD180" s="30" t="s">
        <v>199</v>
      </c>
      <c r="AE180" s="30" t="s">
        <v>199</v>
      </c>
      <c r="AF180" s="30" t="s">
        <v>199</v>
      </c>
      <c r="AG180" s="30" t="s">
        <v>199</v>
      </c>
      <c r="AH180" s="30">
        <v>0.0</v>
      </c>
      <c r="AI180" s="30" t="s">
        <v>199</v>
      </c>
      <c r="AJ180" s="30">
        <v>0.0</v>
      </c>
      <c r="AK180" s="32"/>
      <c r="AL180" s="25"/>
      <c r="AM180" s="25"/>
      <c r="AN180" s="25"/>
      <c r="AO180" s="25"/>
      <c r="AP180" s="25"/>
    </row>
    <row r="181" ht="15.75" customHeight="1">
      <c r="A181" s="16" t="s">
        <v>256</v>
      </c>
      <c r="B181" s="16">
        <v>2022.0</v>
      </c>
      <c r="C181" s="16" t="s">
        <v>400</v>
      </c>
      <c r="D181" s="16">
        <v>20.0</v>
      </c>
      <c r="E181" s="16">
        <v>10.0</v>
      </c>
      <c r="F181" s="16" t="s">
        <v>1294</v>
      </c>
      <c r="G181" s="16" t="s">
        <v>1231</v>
      </c>
      <c r="H181" s="16">
        <v>1.0</v>
      </c>
      <c r="I181" s="16">
        <v>1.0</v>
      </c>
      <c r="J181" s="16" t="s">
        <v>1295</v>
      </c>
      <c r="K181" s="49" t="s">
        <v>1267</v>
      </c>
      <c r="L181" s="49" t="s">
        <v>1269</v>
      </c>
      <c r="M181" s="16">
        <v>77.0</v>
      </c>
      <c r="N181" s="16" t="s">
        <v>348</v>
      </c>
      <c r="O181" s="16" t="s">
        <v>1297</v>
      </c>
      <c r="P181" s="21">
        <v>0.4861111111111111</v>
      </c>
      <c r="Q181" s="52" t="s">
        <v>287</v>
      </c>
      <c r="R181" s="22" t="s">
        <v>194</v>
      </c>
      <c r="S181" s="16" t="s">
        <v>197</v>
      </c>
      <c r="T181" s="16" t="s">
        <v>221</v>
      </c>
      <c r="U181" s="16">
        <v>191.0</v>
      </c>
      <c r="V181" s="16">
        <v>160.0</v>
      </c>
      <c r="W181" s="16">
        <v>142.0</v>
      </c>
      <c r="X181" s="23" t="s">
        <v>199</v>
      </c>
      <c r="Y181" s="16">
        <v>1.0</v>
      </c>
      <c r="Z181" s="23">
        <v>0.0</v>
      </c>
      <c r="AA181" s="23" t="s">
        <v>199</v>
      </c>
      <c r="AB181" s="48" t="s">
        <v>1300</v>
      </c>
      <c r="AC181" s="23" t="s">
        <v>199</v>
      </c>
      <c r="AD181" s="23" t="s">
        <v>199</v>
      </c>
      <c r="AE181" s="23" t="s">
        <v>199</v>
      </c>
      <c r="AF181" s="23" t="s">
        <v>199</v>
      </c>
      <c r="AG181" s="23" t="s">
        <v>199</v>
      </c>
      <c r="AH181" s="23">
        <v>0.0</v>
      </c>
      <c r="AI181" s="23" t="s">
        <v>199</v>
      </c>
      <c r="AJ181" s="23">
        <v>0.0</v>
      </c>
      <c r="AK181" s="24"/>
      <c r="AL181" s="25"/>
      <c r="AM181" s="25"/>
      <c r="AN181" s="25"/>
      <c r="AO181" s="25"/>
      <c r="AP181" s="25"/>
    </row>
    <row r="182" ht="15.75" customHeight="1">
      <c r="A182" s="26" t="s">
        <v>256</v>
      </c>
      <c r="B182" s="26">
        <v>2022.0</v>
      </c>
      <c r="C182" s="26" t="s">
        <v>400</v>
      </c>
      <c r="D182" s="26">
        <v>20.0</v>
      </c>
      <c r="E182" s="26">
        <v>11.0</v>
      </c>
      <c r="F182" s="26" t="s">
        <v>1302</v>
      </c>
      <c r="G182" s="26" t="s">
        <v>1231</v>
      </c>
      <c r="H182" s="26">
        <v>3.0</v>
      </c>
      <c r="I182" s="26">
        <v>4.0</v>
      </c>
      <c r="J182" s="26" t="s">
        <v>1304</v>
      </c>
      <c r="K182" s="47" t="s">
        <v>1267</v>
      </c>
      <c r="L182" s="47" t="s">
        <v>1269</v>
      </c>
      <c r="M182" s="26">
        <v>53.0</v>
      </c>
      <c r="N182" s="26" t="s">
        <v>353</v>
      </c>
      <c r="O182" s="26" t="s">
        <v>1297</v>
      </c>
      <c r="P182" s="28">
        <v>0.5583333333333333</v>
      </c>
      <c r="Q182" s="51" t="s">
        <v>1308</v>
      </c>
      <c r="R182" s="29" t="s">
        <v>194</v>
      </c>
      <c r="S182" s="26" t="s">
        <v>197</v>
      </c>
      <c r="T182" s="26" t="s">
        <v>221</v>
      </c>
      <c r="U182" s="26">
        <v>110.0</v>
      </c>
      <c r="V182" s="26">
        <v>92.0</v>
      </c>
      <c r="W182" s="26">
        <v>83.0</v>
      </c>
      <c r="X182" s="30" t="s">
        <v>199</v>
      </c>
      <c r="Y182" s="26">
        <v>1.0</v>
      </c>
      <c r="Z182" s="30">
        <v>0.0</v>
      </c>
      <c r="AA182" s="30" t="s">
        <v>199</v>
      </c>
      <c r="AB182" s="46" t="s">
        <v>1311</v>
      </c>
      <c r="AC182" s="30" t="s">
        <v>199</v>
      </c>
      <c r="AD182" s="30" t="s">
        <v>199</v>
      </c>
      <c r="AE182" s="30" t="s">
        <v>199</v>
      </c>
      <c r="AF182" s="30" t="s">
        <v>199</v>
      </c>
      <c r="AG182" s="30" t="s">
        <v>199</v>
      </c>
      <c r="AH182" s="30">
        <v>0.0</v>
      </c>
      <c r="AI182" s="30" t="s">
        <v>199</v>
      </c>
      <c r="AJ182" s="30">
        <v>0.0</v>
      </c>
      <c r="AK182" s="32"/>
      <c r="AL182" s="25"/>
      <c r="AM182" s="25"/>
      <c r="AN182" s="25"/>
      <c r="AO182" s="25"/>
      <c r="AP182" s="25"/>
    </row>
    <row r="183" ht="15.75" customHeight="1">
      <c r="A183" s="16" t="s">
        <v>256</v>
      </c>
      <c r="B183" s="16">
        <v>2022.0</v>
      </c>
      <c r="C183" s="16" t="s">
        <v>400</v>
      </c>
      <c r="D183" s="16">
        <v>20.0</v>
      </c>
      <c r="E183" s="16">
        <v>12.0</v>
      </c>
      <c r="F183" s="16" t="s">
        <v>1312</v>
      </c>
      <c r="G183" s="16" t="s">
        <v>1231</v>
      </c>
      <c r="H183" s="16">
        <v>3.0</v>
      </c>
      <c r="I183" s="16">
        <v>4.0</v>
      </c>
      <c r="J183" s="16" t="s">
        <v>1304</v>
      </c>
      <c r="K183" s="49" t="s">
        <v>1267</v>
      </c>
      <c r="L183" s="49" t="s">
        <v>1269</v>
      </c>
      <c r="M183" s="16">
        <v>53.0</v>
      </c>
      <c r="N183" s="16" t="s">
        <v>353</v>
      </c>
      <c r="O183" s="16" t="s">
        <v>1297</v>
      </c>
      <c r="P183" s="21">
        <v>0.5722222222222222</v>
      </c>
      <c r="Q183" s="52" t="s">
        <v>1308</v>
      </c>
      <c r="R183" s="22" t="s">
        <v>194</v>
      </c>
      <c r="S183" s="16" t="s">
        <v>197</v>
      </c>
      <c r="T183" s="16" t="s">
        <v>221</v>
      </c>
      <c r="U183" s="16">
        <v>173.0</v>
      </c>
      <c r="V183" s="16">
        <v>145.0</v>
      </c>
      <c r="W183" s="16">
        <v>133.0</v>
      </c>
      <c r="X183" s="23" t="s">
        <v>199</v>
      </c>
      <c r="Y183" s="16">
        <v>1.0</v>
      </c>
      <c r="Z183" s="23">
        <v>0.0</v>
      </c>
      <c r="AA183" s="23" t="s">
        <v>199</v>
      </c>
      <c r="AB183" s="48" t="s">
        <v>1316</v>
      </c>
      <c r="AC183" s="23" t="s">
        <v>199</v>
      </c>
      <c r="AD183" s="23" t="s">
        <v>199</v>
      </c>
      <c r="AE183" s="23" t="s">
        <v>199</v>
      </c>
      <c r="AF183" s="23" t="s">
        <v>199</v>
      </c>
      <c r="AG183" s="23" t="s">
        <v>199</v>
      </c>
      <c r="AH183" s="23">
        <v>0.0</v>
      </c>
      <c r="AI183" s="23" t="s">
        <v>199</v>
      </c>
      <c r="AJ183" s="23">
        <v>0.0</v>
      </c>
      <c r="AK183" s="24"/>
      <c r="AL183" s="25"/>
      <c r="AM183" s="25"/>
      <c r="AN183" s="25"/>
      <c r="AO183" s="25"/>
      <c r="AP183" s="25"/>
    </row>
    <row r="184" ht="15.75" customHeight="1">
      <c r="A184" s="26" t="s">
        <v>1320</v>
      </c>
      <c r="B184" s="26">
        <v>2022.0</v>
      </c>
      <c r="C184" s="26" t="s">
        <v>400</v>
      </c>
      <c r="D184" s="26">
        <v>25.0</v>
      </c>
      <c r="E184" s="26">
        <v>1.0</v>
      </c>
      <c r="F184" s="26" t="s">
        <v>199</v>
      </c>
      <c r="G184" s="26" t="s">
        <v>154</v>
      </c>
      <c r="H184" s="26">
        <v>1.0</v>
      </c>
      <c r="I184" s="26">
        <v>3.0</v>
      </c>
      <c r="J184" s="26" t="s">
        <v>199</v>
      </c>
      <c r="K184" s="47" t="s">
        <v>1324</v>
      </c>
      <c r="L184" s="47" t="s">
        <v>1325</v>
      </c>
      <c r="M184" s="26">
        <v>14.4</v>
      </c>
      <c r="N184" s="26" t="s">
        <v>243</v>
      </c>
      <c r="O184" s="30" t="s">
        <v>199</v>
      </c>
      <c r="P184" s="28">
        <v>0.6145833333333334</v>
      </c>
      <c r="Q184" s="51" t="s">
        <v>267</v>
      </c>
      <c r="R184" s="26" t="s">
        <v>288</v>
      </c>
      <c r="S184" s="26" t="s">
        <v>732</v>
      </c>
      <c r="T184" s="26" t="s">
        <v>198</v>
      </c>
      <c r="U184" s="26">
        <v>210.0</v>
      </c>
      <c r="V184" s="30" t="s">
        <v>199</v>
      </c>
      <c r="W184" s="26">
        <v>160.0</v>
      </c>
      <c r="X184" s="30" t="s">
        <v>199</v>
      </c>
      <c r="Y184" s="58">
        <v>1.0</v>
      </c>
      <c r="Z184" s="26">
        <v>0.0</v>
      </c>
      <c r="AA184" s="30" t="s">
        <v>199</v>
      </c>
      <c r="AB184" s="26" t="s">
        <v>1332</v>
      </c>
      <c r="AC184" s="51">
        <v>59985.0</v>
      </c>
      <c r="AD184" s="26">
        <v>1399991.0</v>
      </c>
      <c r="AE184" s="30" t="s">
        <v>199</v>
      </c>
      <c r="AF184" s="30" t="s">
        <v>199</v>
      </c>
      <c r="AG184" s="30" t="s">
        <v>199</v>
      </c>
      <c r="AH184" s="30">
        <v>0.0</v>
      </c>
      <c r="AI184" s="30" t="s">
        <v>199</v>
      </c>
      <c r="AJ184" s="30">
        <v>0.0</v>
      </c>
      <c r="AK184" s="32"/>
      <c r="AL184" s="25"/>
      <c r="AM184" s="25"/>
      <c r="AN184" s="25"/>
      <c r="AO184" s="25"/>
      <c r="AP184" s="25"/>
    </row>
    <row r="185" ht="15.75" customHeight="1">
      <c r="A185" s="16" t="s">
        <v>1320</v>
      </c>
      <c r="B185" s="16">
        <v>2022.0</v>
      </c>
      <c r="C185" s="16" t="s">
        <v>400</v>
      </c>
      <c r="D185" s="16">
        <v>26.0</v>
      </c>
      <c r="E185" s="16">
        <v>2.0</v>
      </c>
      <c r="F185" s="16" t="s">
        <v>199</v>
      </c>
      <c r="G185" s="16" t="s">
        <v>154</v>
      </c>
      <c r="H185" s="16">
        <v>6.0</v>
      </c>
      <c r="I185" s="16">
        <v>1.0</v>
      </c>
      <c r="J185" s="16" t="s">
        <v>199</v>
      </c>
      <c r="K185" s="49" t="s">
        <v>1333</v>
      </c>
      <c r="L185" s="49" t="s">
        <v>1334</v>
      </c>
      <c r="M185" s="16">
        <v>19.7</v>
      </c>
      <c r="N185" s="16" t="s">
        <v>243</v>
      </c>
      <c r="O185" s="23" t="s">
        <v>199</v>
      </c>
      <c r="P185" s="21">
        <v>0.4152777777777778</v>
      </c>
      <c r="Q185" s="52" t="s">
        <v>287</v>
      </c>
      <c r="R185" s="16" t="s">
        <v>288</v>
      </c>
      <c r="S185" s="16" t="s">
        <v>732</v>
      </c>
      <c r="T185" s="16" t="s">
        <v>198</v>
      </c>
      <c r="U185" s="16">
        <v>222.0</v>
      </c>
      <c r="V185" s="23" t="s">
        <v>199</v>
      </c>
      <c r="W185" s="16">
        <v>155.0</v>
      </c>
      <c r="X185" s="23" t="s">
        <v>199</v>
      </c>
      <c r="Y185" s="59">
        <v>1.0</v>
      </c>
      <c r="Z185" s="16">
        <v>0.0</v>
      </c>
      <c r="AA185" s="23" t="s">
        <v>199</v>
      </c>
      <c r="AB185" s="16" t="s">
        <v>1337</v>
      </c>
      <c r="AC185" s="52">
        <v>59988.0</v>
      </c>
      <c r="AD185" s="16">
        <v>1399994.0</v>
      </c>
      <c r="AE185" s="23" t="s">
        <v>199</v>
      </c>
      <c r="AF185" s="23" t="s">
        <v>199</v>
      </c>
      <c r="AG185" s="23" t="s">
        <v>199</v>
      </c>
      <c r="AH185" s="23">
        <v>0.0</v>
      </c>
      <c r="AI185" s="23" t="s">
        <v>199</v>
      </c>
      <c r="AJ185" s="23">
        <v>0.0</v>
      </c>
      <c r="AK185" s="24"/>
      <c r="AL185" s="25"/>
      <c r="AM185" s="25"/>
      <c r="AN185" s="25"/>
      <c r="AO185" s="25"/>
      <c r="AP185" s="25"/>
    </row>
    <row r="186" ht="15.75" customHeight="1">
      <c r="A186" s="26" t="s">
        <v>1320</v>
      </c>
      <c r="B186" s="26">
        <v>2022.0</v>
      </c>
      <c r="C186" s="26" t="s">
        <v>400</v>
      </c>
      <c r="D186" s="26">
        <v>26.0</v>
      </c>
      <c r="E186" s="26">
        <v>3.0</v>
      </c>
      <c r="F186" s="26" t="s">
        <v>199</v>
      </c>
      <c r="G186" s="26" t="s">
        <v>154</v>
      </c>
      <c r="H186" s="26">
        <v>4.0</v>
      </c>
      <c r="I186" s="26">
        <v>4.0</v>
      </c>
      <c r="J186" s="26" t="s">
        <v>199</v>
      </c>
      <c r="K186" s="47" t="s">
        <v>1342</v>
      </c>
      <c r="L186" s="47" t="s">
        <v>1343</v>
      </c>
      <c r="M186" s="26">
        <v>20.0</v>
      </c>
      <c r="N186" s="26" t="s">
        <v>243</v>
      </c>
      <c r="O186" s="30" t="s">
        <v>199</v>
      </c>
      <c r="P186" s="28">
        <v>0.53125</v>
      </c>
      <c r="Q186" s="51" t="s">
        <v>1344</v>
      </c>
      <c r="R186" s="29" t="s">
        <v>666</v>
      </c>
      <c r="S186" s="26" t="s">
        <v>668</v>
      </c>
      <c r="T186" s="26" t="s">
        <v>221</v>
      </c>
      <c r="U186" s="26">
        <v>243.0</v>
      </c>
      <c r="V186" s="26">
        <v>204.0</v>
      </c>
      <c r="W186" s="26">
        <v>180.0</v>
      </c>
      <c r="X186" s="26">
        <v>113.0</v>
      </c>
      <c r="Y186" s="58">
        <v>1.0</v>
      </c>
      <c r="Z186" s="26">
        <v>0.0</v>
      </c>
      <c r="AA186" s="30" t="s">
        <v>199</v>
      </c>
      <c r="AB186" s="26" t="s">
        <v>1346</v>
      </c>
      <c r="AC186" s="51">
        <v>54910.0</v>
      </c>
      <c r="AD186" s="26">
        <v>1540722.0</v>
      </c>
      <c r="AE186" s="30" t="s">
        <v>199</v>
      </c>
      <c r="AF186" s="30" t="s">
        <v>199</v>
      </c>
      <c r="AG186" s="30" t="s">
        <v>199</v>
      </c>
      <c r="AH186" s="30">
        <v>0.0</v>
      </c>
      <c r="AI186" s="30" t="s">
        <v>199</v>
      </c>
      <c r="AJ186" s="26">
        <v>1.0</v>
      </c>
      <c r="AK186" s="32" t="s">
        <v>1349</v>
      </c>
      <c r="AL186" s="25"/>
      <c r="AM186" s="25"/>
      <c r="AN186" s="25"/>
      <c r="AO186" s="25"/>
      <c r="AP186" s="25"/>
    </row>
    <row r="187" ht="15.75" customHeight="1">
      <c r="A187" s="16" t="s">
        <v>1320</v>
      </c>
      <c r="B187" s="16">
        <v>2022.0</v>
      </c>
      <c r="C187" s="16" t="s">
        <v>400</v>
      </c>
      <c r="D187" s="16">
        <v>27.0</v>
      </c>
      <c r="E187" s="16">
        <v>4.0</v>
      </c>
      <c r="F187" s="16" t="s">
        <v>199</v>
      </c>
      <c r="G187" s="16" t="s">
        <v>154</v>
      </c>
      <c r="H187" s="16">
        <v>4.0</v>
      </c>
      <c r="I187" s="16">
        <v>1.0</v>
      </c>
      <c r="J187" s="16" t="s">
        <v>199</v>
      </c>
      <c r="K187" s="49" t="s">
        <v>1353</v>
      </c>
      <c r="L187" s="49" t="s">
        <v>1354</v>
      </c>
      <c r="M187" s="16">
        <v>20.4</v>
      </c>
      <c r="N187" s="16" t="s">
        <v>243</v>
      </c>
      <c r="O187" s="23" t="s">
        <v>199</v>
      </c>
      <c r="P187" s="21">
        <v>0.44930555555555557</v>
      </c>
      <c r="Q187" s="52" t="s">
        <v>1344</v>
      </c>
      <c r="R187" s="22" t="s">
        <v>666</v>
      </c>
      <c r="S187" s="16" t="s">
        <v>668</v>
      </c>
      <c r="T187" s="16" t="s">
        <v>221</v>
      </c>
      <c r="U187" s="16">
        <v>110.0</v>
      </c>
      <c r="V187" s="16">
        <v>85.0</v>
      </c>
      <c r="W187" s="16">
        <v>73.0</v>
      </c>
      <c r="X187" s="23" t="s">
        <v>199</v>
      </c>
      <c r="Y187" s="59">
        <v>1.0</v>
      </c>
      <c r="Z187" s="16">
        <v>0.0</v>
      </c>
      <c r="AA187" s="23" t="s">
        <v>199</v>
      </c>
      <c r="AB187" s="16" t="s">
        <v>1364</v>
      </c>
      <c r="AC187" s="23" t="s">
        <v>199</v>
      </c>
      <c r="AD187" s="23" t="s">
        <v>199</v>
      </c>
      <c r="AE187" s="23" t="s">
        <v>199</v>
      </c>
      <c r="AF187" s="23" t="s">
        <v>199</v>
      </c>
      <c r="AG187" s="23" t="s">
        <v>199</v>
      </c>
      <c r="AH187" s="23">
        <v>0.0</v>
      </c>
      <c r="AI187" s="23" t="s">
        <v>199</v>
      </c>
      <c r="AJ187" s="23">
        <v>0.0</v>
      </c>
      <c r="AK187" s="24"/>
      <c r="AL187" s="25"/>
      <c r="AM187" s="25"/>
      <c r="AN187" s="25"/>
      <c r="AO187" s="25"/>
      <c r="AP187" s="25"/>
    </row>
    <row r="188" ht="15.75" customHeight="1">
      <c r="A188" s="26" t="s">
        <v>1320</v>
      </c>
      <c r="B188" s="26">
        <v>2022.0</v>
      </c>
      <c r="C188" s="26" t="s">
        <v>400</v>
      </c>
      <c r="D188" s="26">
        <v>27.0</v>
      </c>
      <c r="E188" s="26">
        <v>5.0</v>
      </c>
      <c r="F188" s="26" t="s">
        <v>199</v>
      </c>
      <c r="G188" s="26" t="s">
        <v>154</v>
      </c>
      <c r="H188" s="26">
        <v>1.0</v>
      </c>
      <c r="I188" s="26">
        <v>2.0</v>
      </c>
      <c r="J188" s="26" t="s">
        <v>199</v>
      </c>
      <c r="K188" s="47" t="s">
        <v>1367</v>
      </c>
      <c r="L188" s="47" t="s">
        <v>1369</v>
      </c>
      <c r="M188" s="26">
        <v>20.1</v>
      </c>
      <c r="N188" s="26" t="s">
        <v>243</v>
      </c>
      <c r="O188" s="30" t="s">
        <v>199</v>
      </c>
      <c r="P188" s="28">
        <v>0.48541666666666666</v>
      </c>
      <c r="Q188" s="51" t="s">
        <v>1344</v>
      </c>
      <c r="R188" s="29" t="s">
        <v>666</v>
      </c>
      <c r="S188" s="26" t="s">
        <v>668</v>
      </c>
      <c r="T188" s="26" t="s">
        <v>198</v>
      </c>
      <c r="U188" s="26">
        <v>155.0</v>
      </c>
      <c r="V188" s="26">
        <v>123.0</v>
      </c>
      <c r="W188" s="26">
        <v>111.0</v>
      </c>
      <c r="X188" s="30" t="s">
        <v>199</v>
      </c>
      <c r="Y188" s="58">
        <v>1.0</v>
      </c>
      <c r="Z188" s="26">
        <v>0.0</v>
      </c>
      <c r="AA188" s="30" t="s">
        <v>199</v>
      </c>
      <c r="AB188" s="26" t="s">
        <v>1373</v>
      </c>
      <c r="AC188" s="51">
        <v>54909.0</v>
      </c>
      <c r="AD188" s="26">
        <v>1540721.0</v>
      </c>
      <c r="AE188" s="30" t="s">
        <v>199</v>
      </c>
      <c r="AF188" s="30" t="s">
        <v>199</v>
      </c>
      <c r="AG188" s="30" t="s">
        <v>199</v>
      </c>
      <c r="AH188" s="30">
        <v>0.0</v>
      </c>
      <c r="AI188" s="30" t="s">
        <v>199</v>
      </c>
      <c r="AJ188" s="30">
        <v>0.0</v>
      </c>
      <c r="AK188" s="32"/>
      <c r="AL188" s="25"/>
      <c r="AM188" s="25"/>
      <c r="AN188" s="25"/>
      <c r="AO188" s="25"/>
      <c r="AP188" s="25"/>
    </row>
    <row r="189" ht="15.75" customHeight="1">
      <c r="A189" s="16" t="s">
        <v>1320</v>
      </c>
      <c r="B189" s="16">
        <v>2022.0</v>
      </c>
      <c r="C189" s="16" t="s">
        <v>400</v>
      </c>
      <c r="D189" s="16">
        <v>27.0</v>
      </c>
      <c r="E189" s="16">
        <v>6.0</v>
      </c>
      <c r="F189" s="16" t="s">
        <v>199</v>
      </c>
      <c r="G189" s="16" t="s">
        <v>154</v>
      </c>
      <c r="H189" s="16">
        <v>2.0</v>
      </c>
      <c r="I189" s="16">
        <v>4.0</v>
      </c>
      <c r="J189" s="16" t="s">
        <v>199</v>
      </c>
      <c r="K189" s="49" t="s">
        <v>1376</v>
      </c>
      <c r="L189" s="49" t="s">
        <v>1377</v>
      </c>
      <c r="M189" s="16">
        <v>17.6</v>
      </c>
      <c r="N189" s="16" t="s">
        <v>243</v>
      </c>
      <c r="O189" s="23" t="s">
        <v>199</v>
      </c>
      <c r="P189" s="21">
        <v>0.5944444444444444</v>
      </c>
      <c r="Q189" s="52" t="s">
        <v>1344</v>
      </c>
      <c r="R189" s="22" t="s">
        <v>666</v>
      </c>
      <c r="S189" s="16" t="s">
        <v>668</v>
      </c>
      <c r="T189" s="16" t="s">
        <v>221</v>
      </c>
      <c r="U189" s="23" t="s">
        <v>199</v>
      </c>
      <c r="V189" s="23" t="s">
        <v>199</v>
      </c>
      <c r="W189" s="23" t="s">
        <v>199</v>
      </c>
      <c r="X189" s="23" t="s">
        <v>199</v>
      </c>
      <c r="Y189" s="59">
        <v>0.0</v>
      </c>
      <c r="Z189" s="16">
        <v>0.0</v>
      </c>
      <c r="AA189" s="23" t="s">
        <v>199</v>
      </c>
      <c r="AB189" s="23" t="s">
        <v>199</v>
      </c>
      <c r="AC189" s="23" t="s">
        <v>199</v>
      </c>
      <c r="AD189" s="23" t="s">
        <v>199</v>
      </c>
      <c r="AE189" s="23" t="s">
        <v>199</v>
      </c>
      <c r="AF189" s="23" t="s">
        <v>199</v>
      </c>
      <c r="AG189" s="23" t="s">
        <v>199</v>
      </c>
      <c r="AH189" s="23">
        <v>0.0</v>
      </c>
      <c r="AI189" s="23" t="s">
        <v>199</v>
      </c>
      <c r="AJ189" s="23">
        <v>0.0</v>
      </c>
      <c r="AK189" s="24"/>
      <c r="AL189" s="25"/>
      <c r="AM189" s="25"/>
      <c r="AN189" s="25"/>
      <c r="AO189" s="25"/>
      <c r="AP189" s="25"/>
    </row>
    <row r="190" ht="15.75" customHeight="1">
      <c r="A190" s="26" t="s">
        <v>1320</v>
      </c>
      <c r="B190" s="26">
        <v>2022.0</v>
      </c>
      <c r="C190" s="26" t="s">
        <v>400</v>
      </c>
      <c r="D190" s="26">
        <v>28.0</v>
      </c>
      <c r="E190" s="26">
        <v>7.0</v>
      </c>
      <c r="F190" s="26" t="s">
        <v>1382</v>
      </c>
      <c r="G190" s="26" t="s">
        <v>154</v>
      </c>
      <c r="H190" s="26">
        <v>2.0</v>
      </c>
      <c r="I190" s="26">
        <v>1.0</v>
      </c>
      <c r="J190" s="26" t="s">
        <v>199</v>
      </c>
      <c r="K190" s="47" t="s">
        <v>1383</v>
      </c>
      <c r="L190" s="47" t="s">
        <v>1387</v>
      </c>
      <c r="M190" s="26">
        <v>19.3</v>
      </c>
      <c r="N190" s="26" t="s">
        <v>243</v>
      </c>
      <c r="O190" s="30" t="s">
        <v>199</v>
      </c>
      <c r="P190" s="28">
        <v>0.4083333333333334</v>
      </c>
      <c r="Q190" s="51" t="s">
        <v>309</v>
      </c>
      <c r="R190" s="29" t="s">
        <v>666</v>
      </c>
      <c r="S190" s="26" t="s">
        <v>668</v>
      </c>
      <c r="T190" s="26" t="s">
        <v>221</v>
      </c>
      <c r="U190" s="26">
        <v>295.0</v>
      </c>
      <c r="V190" s="26">
        <v>240.0</v>
      </c>
      <c r="W190" s="26">
        <v>220.0</v>
      </c>
      <c r="X190" s="30" t="s">
        <v>199</v>
      </c>
      <c r="Y190" s="58">
        <v>1.0</v>
      </c>
      <c r="Z190" s="26">
        <v>0.0</v>
      </c>
      <c r="AA190" s="30" t="s">
        <v>199</v>
      </c>
      <c r="AB190" s="26" t="s">
        <v>1388</v>
      </c>
      <c r="AC190" s="30" t="s">
        <v>199</v>
      </c>
      <c r="AD190" s="30" t="s">
        <v>199</v>
      </c>
      <c r="AE190" s="30" t="s">
        <v>199</v>
      </c>
      <c r="AF190" s="30" t="s">
        <v>199</v>
      </c>
      <c r="AG190" s="30" t="s">
        <v>199</v>
      </c>
      <c r="AH190" s="30">
        <v>0.0</v>
      </c>
      <c r="AI190" s="30" t="s">
        <v>199</v>
      </c>
      <c r="AJ190" s="30">
        <v>0.0</v>
      </c>
      <c r="AK190" s="32"/>
      <c r="AL190" s="25"/>
      <c r="AM190" s="25"/>
      <c r="AN190" s="25"/>
      <c r="AO190" s="25"/>
      <c r="AP190" s="25"/>
    </row>
    <row r="191" ht="15.75" customHeight="1">
      <c r="A191" s="16" t="s">
        <v>1320</v>
      </c>
      <c r="B191" s="16">
        <v>2022.0</v>
      </c>
      <c r="C191" s="16" t="s">
        <v>400</v>
      </c>
      <c r="D191" s="16">
        <v>28.0</v>
      </c>
      <c r="E191" s="16">
        <v>8.0</v>
      </c>
      <c r="F191" s="16" t="s">
        <v>199</v>
      </c>
      <c r="G191" s="16" t="s">
        <v>154</v>
      </c>
      <c r="H191" s="16">
        <v>5.0</v>
      </c>
      <c r="I191" s="16">
        <v>1.0</v>
      </c>
      <c r="J191" s="16" t="s">
        <v>199</v>
      </c>
      <c r="K191" s="49" t="s">
        <v>1393</v>
      </c>
      <c r="L191" s="49" t="s">
        <v>1394</v>
      </c>
      <c r="M191" s="16">
        <v>20.3</v>
      </c>
      <c r="N191" s="16" t="s">
        <v>243</v>
      </c>
      <c r="O191" s="23" t="s">
        <v>199</v>
      </c>
      <c r="P191" s="21">
        <v>0.44375000000000003</v>
      </c>
      <c r="Q191" s="52" t="s">
        <v>267</v>
      </c>
      <c r="R191" s="22" t="s">
        <v>194</v>
      </c>
      <c r="S191" s="16" t="s">
        <v>197</v>
      </c>
      <c r="T191" s="16" t="s">
        <v>221</v>
      </c>
      <c r="U191" s="16">
        <v>127.0</v>
      </c>
      <c r="V191" s="16">
        <v>105.0</v>
      </c>
      <c r="W191" s="16">
        <v>91.0</v>
      </c>
      <c r="X191" s="23" t="s">
        <v>199</v>
      </c>
      <c r="Y191" s="59">
        <v>1.0</v>
      </c>
      <c r="Z191" s="16">
        <v>0.0</v>
      </c>
      <c r="AA191" s="23" t="s">
        <v>199</v>
      </c>
      <c r="AB191" s="16" t="s">
        <v>1395</v>
      </c>
      <c r="AC191" s="23" t="s">
        <v>199</v>
      </c>
      <c r="AD191" s="23" t="s">
        <v>199</v>
      </c>
      <c r="AE191" s="23" t="s">
        <v>199</v>
      </c>
      <c r="AF191" s="23" t="s">
        <v>199</v>
      </c>
      <c r="AG191" s="23" t="s">
        <v>199</v>
      </c>
      <c r="AH191" s="23">
        <v>0.0</v>
      </c>
      <c r="AI191" s="23" t="s">
        <v>199</v>
      </c>
      <c r="AJ191" s="23">
        <v>0.0</v>
      </c>
      <c r="AK191" s="24"/>
      <c r="AL191" s="25"/>
      <c r="AM191" s="25"/>
      <c r="AN191" s="25"/>
      <c r="AO191" s="25"/>
      <c r="AP191" s="25"/>
    </row>
    <row r="192" ht="15.75" customHeight="1">
      <c r="A192" s="26" t="s">
        <v>1320</v>
      </c>
      <c r="B192" s="26">
        <v>2022.0</v>
      </c>
      <c r="C192" s="26" t="s">
        <v>400</v>
      </c>
      <c r="D192" s="26">
        <v>28.0</v>
      </c>
      <c r="E192" s="26">
        <v>9.0</v>
      </c>
      <c r="F192" s="26" t="s">
        <v>199</v>
      </c>
      <c r="G192" s="26" t="s">
        <v>154</v>
      </c>
      <c r="H192" s="26">
        <v>1.0</v>
      </c>
      <c r="I192" s="26">
        <v>4.0</v>
      </c>
      <c r="J192" s="26" t="s">
        <v>199</v>
      </c>
      <c r="K192" s="47" t="s">
        <v>1397</v>
      </c>
      <c r="L192" s="47" t="s">
        <v>1398</v>
      </c>
      <c r="M192" s="26">
        <v>18.5</v>
      </c>
      <c r="N192" s="26" t="s">
        <v>243</v>
      </c>
      <c r="O192" s="30" t="s">
        <v>199</v>
      </c>
      <c r="P192" s="28">
        <v>0.5555555555555556</v>
      </c>
      <c r="Q192" s="51" t="s">
        <v>287</v>
      </c>
      <c r="R192" s="29" t="s">
        <v>666</v>
      </c>
      <c r="S192" s="26" t="s">
        <v>668</v>
      </c>
      <c r="T192" s="26" t="s">
        <v>198</v>
      </c>
      <c r="U192" s="26">
        <v>130.0</v>
      </c>
      <c r="V192" s="26">
        <v>100.0</v>
      </c>
      <c r="W192" s="26">
        <v>89.0</v>
      </c>
      <c r="X192" s="30" t="s">
        <v>199</v>
      </c>
      <c r="Y192" s="58">
        <v>1.0</v>
      </c>
      <c r="Z192" s="26">
        <v>0.0</v>
      </c>
      <c r="AA192" s="30" t="s">
        <v>199</v>
      </c>
      <c r="AB192" s="26" t="s">
        <v>1402</v>
      </c>
      <c r="AC192" s="30" t="s">
        <v>199</v>
      </c>
      <c r="AD192" s="30" t="s">
        <v>199</v>
      </c>
      <c r="AE192" s="30" t="s">
        <v>199</v>
      </c>
      <c r="AF192" s="30" t="s">
        <v>199</v>
      </c>
      <c r="AG192" s="30" t="s">
        <v>199</v>
      </c>
      <c r="AH192" s="30">
        <v>0.0</v>
      </c>
      <c r="AI192" s="30" t="s">
        <v>199</v>
      </c>
      <c r="AJ192" s="30">
        <v>0.0</v>
      </c>
      <c r="AK192" s="32"/>
      <c r="AL192" s="25"/>
      <c r="AM192" s="25"/>
      <c r="AN192" s="25"/>
      <c r="AO192" s="25"/>
      <c r="AP192" s="25"/>
    </row>
    <row r="193" ht="15.75" customHeight="1">
      <c r="A193" s="23" t="s">
        <v>1406</v>
      </c>
      <c r="B193" s="16">
        <v>2023.0</v>
      </c>
      <c r="C193" s="16" t="s">
        <v>400</v>
      </c>
      <c r="D193" s="16">
        <v>16.0</v>
      </c>
      <c r="E193" s="16">
        <v>1.0</v>
      </c>
      <c r="F193" s="16" t="s">
        <v>199</v>
      </c>
      <c r="G193" s="16" t="s">
        <v>154</v>
      </c>
      <c r="H193" s="16">
        <v>1.0</v>
      </c>
      <c r="I193" s="16">
        <v>2.0</v>
      </c>
      <c r="J193" s="16">
        <v>7.0</v>
      </c>
      <c r="K193" s="49" t="s">
        <v>1407</v>
      </c>
      <c r="L193" s="49" t="s">
        <v>1409</v>
      </c>
      <c r="M193" s="16">
        <v>25.0</v>
      </c>
      <c r="N193" s="16" t="s">
        <v>1297</v>
      </c>
      <c r="O193" s="16" t="s">
        <v>1410</v>
      </c>
      <c r="P193" s="21">
        <v>0.5395833333333333</v>
      </c>
      <c r="Q193" s="52" t="s">
        <v>1411</v>
      </c>
      <c r="R193" s="22" t="s">
        <v>194</v>
      </c>
      <c r="S193" s="16" t="s">
        <v>197</v>
      </c>
      <c r="T193" s="16" t="s">
        <v>221</v>
      </c>
      <c r="U193" s="16">
        <v>114.0</v>
      </c>
      <c r="V193" s="16">
        <v>93.0</v>
      </c>
      <c r="W193" s="16">
        <v>83.0</v>
      </c>
      <c r="X193" s="23" t="s">
        <v>199</v>
      </c>
      <c r="Y193" s="16">
        <v>1.0</v>
      </c>
      <c r="Z193" s="16">
        <v>0.0</v>
      </c>
      <c r="AA193" s="23" t="s">
        <v>199</v>
      </c>
      <c r="AB193" s="16" t="s">
        <v>1412</v>
      </c>
      <c r="AC193" s="23" t="s">
        <v>199</v>
      </c>
      <c r="AD193" s="23" t="s">
        <v>199</v>
      </c>
      <c r="AE193" s="23" t="s">
        <v>199</v>
      </c>
      <c r="AF193" s="23" t="s">
        <v>199</v>
      </c>
      <c r="AG193" s="23" t="s">
        <v>199</v>
      </c>
      <c r="AH193" s="23">
        <v>0.0</v>
      </c>
      <c r="AI193" s="23" t="s">
        <v>199</v>
      </c>
      <c r="AJ193" s="23">
        <v>0.0</v>
      </c>
      <c r="AK193" s="24" t="s">
        <v>1413</v>
      </c>
      <c r="AL193" s="25"/>
      <c r="AM193" s="25"/>
      <c r="AN193" s="25"/>
      <c r="AO193" s="25"/>
      <c r="AP193" s="25"/>
    </row>
    <row r="194" ht="15.75" customHeight="1">
      <c r="A194" s="26" t="s">
        <v>1406</v>
      </c>
      <c r="B194" s="26">
        <v>2023.0</v>
      </c>
      <c r="C194" s="26" t="s">
        <v>400</v>
      </c>
      <c r="D194" s="26">
        <v>20.0</v>
      </c>
      <c r="E194" s="26">
        <v>1.0</v>
      </c>
      <c r="F194" s="26" t="s">
        <v>199</v>
      </c>
      <c r="G194" s="26" t="s">
        <v>154</v>
      </c>
      <c r="H194" s="26">
        <v>5.0</v>
      </c>
      <c r="I194" s="26">
        <v>1.0</v>
      </c>
      <c r="J194" s="26">
        <v>56.0</v>
      </c>
      <c r="K194" s="47" t="s">
        <v>1414</v>
      </c>
      <c r="L194" s="47" t="s">
        <v>1415</v>
      </c>
      <c r="M194" s="26" t="s">
        <v>1416</v>
      </c>
      <c r="N194" s="26" t="s">
        <v>19</v>
      </c>
      <c r="O194" s="26" t="s">
        <v>50</v>
      </c>
      <c r="P194" s="28">
        <v>0.40277777777777773</v>
      </c>
      <c r="Q194" s="51" t="s">
        <v>309</v>
      </c>
      <c r="R194" s="29" t="s">
        <v>666</v>
      </c>
      <c r="S194" s="26" t="s">
        <v>668</v>
      </c>
      <c r="T194" s="26" t="s">
        <v>221</v>
      </c>
      <c r="U194" s="26">
        <v>277.0</v>
      </c>
      <c r="V194" s="26">
        <v>220.0</v>
      </c>
      <c r="W194" s="26">
        <v>204.0</v>
      </c>
      <c r="X194" s="30" t="s">
        <v>199</v>
      </c>
      <c r="Y194" s="26">
        <v>1.0</v>
      </c>
      <c r="Z194" s="26">
        <v>0.0</v>
      </c>
      <c r="AA194" s="30" t="s">
        <v>199</v>
      </c>
      <c r="AB194" s="26" t="s">
        <v>1417</v>
      </c>
      <c r="AC194" s="26">
        <v>48103.0</v>
      </c>
      <c r="AD194" s="26">
        <v>1579329.0</v>
      </c>
      <c r="AE194" s="30" t="s">
        <v>199</v>
      </c>
      <c r="AF194" s="30" t="s">
        <v>199</v>
      </c>
      <c r="AG194" s="30" t="s">
        <v>199</v>
      </c>
      <c r="AH194" s="30">
        <v>0.0</v>
      </c>
      <c r="AI194" s="30" t="s">
        <v>199</v>
      </c>
      <c r="AJ194" s="30">
        <v>0.0</v>
      </c>
      <c r="AK194" s="32" t="s">
        <v>1418</v>
      </c>
      <c r="AL194" s="25"/>
      <c r="AM194" s="25"/>
      <c r="AN194" s="25"/>
      <c r="AO194" s="25"/>
      <c r="AP194" s="25"/>
    </row>
    <row r="195" ht="15.75" customHeight="1">
      <c r="A195" s="16" t="s">
        <v>1406</v>
      </c>
      <c r="B195" s="16">
        <v>2023.0</v>
      </c>
      <c r="C195" s="16" t="s">
        <v>400</v>
      </c>
      <c r="D195" s="16">
        <v>20.0</v>
      </c>
      <c r="E195" s="16">
        <v>2.0</v>
      </c>
      <c r="F195" s="16" t="s">
        <v>199</v>
      </c>
      <c r="G195" s="16" t="s">
        <v>154</v>
      </c>
      <c r="H195" s="16">
        <v>4.0</v>
      </c>
      <c r="I195" s="16">
        <v>2.0</v>
      </c>
      <c r="J195" s="16">
        <v>545.0</v>
      </c>
      <c r="K195" s="49" t="s">
        <v>1106</v>
      </c>
      <c r="L195" s="49" t="s">
        <v>1107</v>
      </c>
      <c r="M195" s="16">
        <v>19.0</v>
      </c>
      <c r="N195" s="16" t="s">
        <v>19</v>
      </c>
      <c r="O195" s="16" t="s">
        <v>50</v>
      </c>
      <c r="P195" s="21">
        <v>0.4590277777777778</v>
      </c>
      <c r="Q195" s="52" t="s">
        <v>1419</v>
      </c>
      <c r="R195" s="22" t="s">
        <v>666</v>
      </c>
      <c r="S195" s="16" t="s">
        <v>668</v>
      </c>
      <c r="T195" s="16" t="s">
        <v>198</v>
      </c>
      <c r="U195" s="16">
        <v>283.0</v>
      </c>
      <c r="V195" s="16">
        <v>233.0</v>
      </c>
      <c r="W195" s="16">
        <v>218.0</v>
      </c>
      <c r="X195" s="23" t="s">
        <v>199</v>
      </c>
      <c r="Y195" s="16">
        <v>1.0</v>
      </c>
      <c r="Z195" s="16">
        <v>0.0</v>
      </c>
      <c r="AA195" s="23" t="s">
        <v>199</v>
      </c>
      <c r="AB195" s="16" t="s">
        <v>1420</v>
      </c>
      <c r="AC195" s="16">
        <v>48102.0</v>
      </c>
      <c r="AD195" s="16">
        <v>1579328.0</v>
      </c>
      <c r="AE195" s="23" t="s">
        <v>199</v>
      </c>
      <c r="AF195" s="23" t="s">
        <v>199</v>
      </c>
      <c r="AG195" s="23" t="s">
        <v>199</v>
      </c>
      <c r="AH195" s="23">
        <v>0.0</v>
      </c>
      <c r="AI195" s="23" t="s">
        <v>199</v>
      </c>
      <c r="AJ195" s="23">
        <v>0.0</v>
      </c>
      <c r="AK195" s="24" t="s">
        <v>1421</v>
      </c>
      <c r="AL195" s="25"/>
      <c r="AM195" s="25"/>
      <c r="AN195" s="25"/>
      <c r="AO195" s="25"/>
      <c r="AP195" s="25"/>
    </row>
    <row r="196" ht="15.75" customHeight="1">
      <c r="A196" s="26" t="s">
        <v>1406</v>
      </c>
      <c r="B196" s="26">
        <v>2023.0</v>
      </c>
      <c r="C196" s="26" t="s">
        <v>400</v>
      </c>
      <c r="D196" s="26">
        <v>20.0</v>
      </c>
      <c r="E196" s="26">
        <v>3.0</v>
      </c>
      <c r="F196" s="26" t="s">
        <v>199</v>
      </c>
      <c r="G196" s="26" t="s">
        <v>154</v>
      </c>
      <c r="H196" s="26">
        <v>6.0</v>
      </c>
      <c r="I196" s="26">
        <v>2.0</v>
      </c>
      <c r="J196" s="26">
        <v>581.0</v>
      </c>
      <c r="K196" s="47" t="s">
        <v>1422</v>
      </c>
      <c r="L196" s="47" t="s">
        <v>1423</v>
      </c>
      <c r="M196" s="26">
        <v>18.0</v>
      </c>
      <c r="N196" s="26" t="s">
        <v>19</v>
      </c>
      <c r="O196" s="26" t="s">
        <v>50</v>
      </c>
      <c r="P196" s="28">
        <v>0.48194444444444445</v>
      </c>
      <c r="Q196" s="51" t="s">
        <v>1411</v>
      </c>
      <c r="R196" s="26" t="s">
        <v>288</v>
      </c>
      <c r="S196" s="26" t="s">
        <v>732</v>
      </c>
      <c r="T196" s="26" t="s">
        <v>221</v>
      </c>
      <c r="U196" s="26">
        <v>172.0</v>
      </c>
      <c r="V196" s="30" t="s">
        <v>199</v>
      </c>
      <c r="W196" s="26">
        <v>113.0</v>
      </c>
      <c r="X196" s="30" t="s">
        <v>199</v>
      </c>
      <c r="Y196" s="26">
        <v>1.0</v>
      </c>
      <c r="Z196" s="26">
        <v>0.0</v>
      </c>
      <c r="AA196" s="30" t="s">
        <v>199</v>
      </c>
      <c r="AB196" s="26" t="s">
        <v>1424</v>
      </c>
      <c r="AC196" s="26">
        <v>62982.0</v>
      </c>
      <c r="AD196" s="26">
        <v>1384492.0</v>
      </c>
      <c r="AE196" s="30" t="s">
        <v>199</v>
      </c>
      <c r="AF196" s="30" t="s">
        <v>199</v>
      </c>
      <c r="AG196" s="30" t="s">
        <v>199</v>
      </c>
      <c r="AH196" s="30">
        <v>0.0</v>
      </c>
      <c r="AI196" s="30" t="s">
        <v>199</v>
      </c>
      <c r="AJ196" s="30">
        <v>0.0</v>
      </c>
      <c r="AK196" s="32" t="s">
        <v>1425</v>
      </c>
      <c r="AL196" s="25"/>
      <c r="AM196" s="25"/>
      <c r="AN196" s="25"/>
      <c r="AO196" s="25"/>
      <c r="AP196" s="25"/>
    </row>
    <row r="197" ht="15.75" customHeight="1">
      <c r="A197" s="16" t="s">
        <v>1406</v>
      </c>
      <c r="B197" s="16">
        <v>2023.0</v>
      </c>
      <c r="C197" s="16" t="s">
        <v>400</v>
      </c>
      <c r="D197" s="16">
        <v>20.0</v>
      </c>
      <c r="E197" s="16">
        <v>4.0</v>
      </c>
      <c r="F197" s="16" t="s">
        <v>199</v>
      </c>
      <c r="G197" s="16" t="s">
        <v>154</v>
      </c>
      <c r="H197" s="16">
        <v>1.0</v>
      </c>
      <c r="I197" s="16">
        <v>3.0</v>
      </c>
      <c r="J197" s="16" t="s">
        <v>1426</v>
      </c>
      <c r="K197" s="49" t="s">
        <v>1427</v>
      </c>
      <c r="L197" s="49" t="s">
        <v>1428</v>
      </c>
      <c r="M197" s="16">
        <v>17.0</v>
      </c>
      <c r="N197" s="16" t="s">
        <v>19</v>
      </c>
      <c r="O197" s="16" t="s">
        <v>50</v>
      </c>
      <c r="P197" s="21">
        <v>0.5118055555555555</v>
      </c>
      <c r="Q197" s="52" t="s">
        <v>1429</v>
      </c>
      <c r="R197" s="22" t="s">
        <v>666</v>
      </c>
      <c r="S197" s="16" t="s">
        <v>668</v>
      </c>
      <c r="T197" s="16" t="s">
        <v>221</v>
      </c>
      <c r="U197" s="23" t="s">
        <v>199</v>
      </c>
      <c r="V197" s="23" t="s">
        <v>199</v>
      </c>
      <c r="W197" s="23" t="s">
        <v>199</v>
      </c>
      <c r="X197" s="23" t="s">
        <v>199</v>
      </c>
      <c r="Y197" s="23">
        <v>0.0</v>
      </c>
      <c r="Z197" s="16">
        <v>0.0</v>
      </c>
      <c r="AA197" s="23" t="s">
        <v>199</v>
      </c>
      <c r="AB197" s="23" t="s">
        <v>199</v>
      </c>
      <c r="AC197" s="23" t="s">
        <v>199</v>
      </c>
      <c r="AD197" s="23" t="s">
        <v>199</v>
      </c>
      <c r="AE197" s="23" t="s">
        <v>199</v>
      </c>
      <c r="AF197" s="23" t="s">
        <v>199</v>
      </c>
      <c r="AG197" s="23" t="s">
        <v>199</v>
      </c>
      <c r="AH197" s="23">
        <v>0.0</v>
      </c>
      <c r="AI197" s="23" t="s">
        <v>199</v>
      </c>
      <c r="AJ197" s="23">
        <v>0.0</v>
      </c>
      <c r="AK197" s="24" t="s">
        <v>1431</v>
      </c>
      <c r="AL197" s="25"/>
      <c r="AM197" s="25"/>
      <c r="AN197" s="25"/>
      <c r="AO197" s="25"/>
      <c r="AP197" s="25"/>
    </row>
    <row r="198" ht="15.75" customHeight="1">
      <c r="A198" s="26" t="s">
        <v>1406</v>
      </c>
      <c r="B198" s="26">
        <v>2023.0</v>
      </c>
      <c r="C198" s="26" t="s">
        <v>400</v>
      </c>
      <c r="D198" s="26">
        <v>20.0</v>
      </c>
      <c r="E198" s="26">
        <v>5.0</v>
      </c>
      <c r="F198" s="26" t="s">
        <v>199</v>
      </c>
      <c r="G198" s="26" t="s">
        <v>154</v>
      </c>
      <c r="H198" s="26">
        <v>4.0</v>
      </c>
      <c r="I198" s="26">
        <v>3.0</v>
      </c>
      <c r="J198" s="26">
        <v>545.0</v>
      </c>
      <c r="K198" s="47" t="s">
        <v>1106</v>
      </c>
      <c r="L198" s="47" t="s">
        <v>1107</v>
      </c>
      <c r="M198" s="26">
        <v>19.0</v>
      </c>
      <c r="N198" s="26" t="s">
        <v>19</v>
      </c>
      <c r="O198" s="26" t="s">
        <v>50</v>
      </c>
      <c r="P198" s="28">
        <v>0.5333333333333333</v>
      </c>
      <c r="Q198" s="51" t="s">
        <v>1434</v>
      </c>
      <c r="R198" s="29" t="s">
        <v>666</v>
      </c>
      <c r="S198" s="26" t="s">
        <v>668</v>
      </c>
      <c r="T198" s="26" t="s">
        <v>198</v>
      </c>
      <c r="U198" s="26">
        <v>332.0</v>
      </c>
      <c r="V198" s="26">
        <v>266.0</v>
      </c>
      <c r="W198" s="26">
        <v>255.0</v>
      </c>
      <c r="X198" s="30" t="s">
        <v>199</v>
      </c>
      <c r="Y198" s="26">
        <v>1.0</v>
      </c>
      <c r="Z198" s="26">
        <v>0.0</v>
      </c>
      <c r="AA198" s="30" t="s">
        <v>199</v>
      </c>
      <c r="AB198" s="26" t="s">
        <v>1435</v>
      </c>
      <c r="AC198" s="26">
        <v>48104.0</v>
      </c>
      <c r="AD198" s="26">
        <v>1579330.0</v>
      </c>
      <c r="AE198" s="30" t="s">
        <v>199</v>
      </c>
      <c r="AF198" s="30" t="s">
        <v>199</v>
      </c>
      <c r="AG198" s="30" t="s">
        <v>199</v>
      </c>
      <c r="AH198" s="30">
        <v>0.0</v>
      </c>
      <c r="AI198" s="30" t="s">
        <v>199</v>
      </c>
      <c r="AJ198" s="30">
        <v>0.0</v>
      </c>
      <c r="AK198" s="32" t="s">
        <v>1436</v>
      </c>
      <c r="AL198" s="25"/>
      <c r="AM198" s="25"/>
      <c r="AN198" s="25"/>
      <c r="AO198" s="25"/>
      <c r="AP198" s="25"/>
    </row>
    <row r="199" ht="15.75" customHeight="1">
      <c r="A199" s="16" t="s">
        <v>1406</v>
      </c>
      <c r="B199" s="16">
        <v>2023.0</v>
      </c>
      <c r="C199" s="16" t="s">
        <v>400</v>
      </c>
      <c r="D199" s="16">
        <v>20.0</v>
      </c>
      <c r="E199" s="16">
        <v>6.0</v>
      </c>
      <c r="F199" s="16" t="s">
        <v>199</v>
      </c>
      <c r="G199" s="16" t="s">
        <v>154</v>
      </c>
      <c r="H199" s="16">
        <v>2.0</v>
      </c>
      <c r="I199" s="16">
        <v>4.0</v>
      </c>
      <c r="J199" s="16">
        <v>39.0</v>
      </c>
      <c r="K199" s="49" t="s">
        <v>1437</v>
      </c>
      <c r="L199" s="49" t="s">
        <v>1438</v>
      </c>
      <c r="M199" s="16" t="s">
        <v>1416</v>
      </c>
      <c r="N199" s="16" t="s">
        <v>19</v>
      </c>
      <c r="O199" s="16" t="s">
        <v>50</v>
      </c>
      <c r="P199" s="21">
        <v>0.6097222222222222</v>
      </c>
      <c r="Q199" s="52" t="s">
        <v>1434</v>
      </c>
      <c r="R199" s="22" t="s">
        <v>666</v>
      </c>
      <c r="S199" s="16" t="s">
        <v>668</v>
      </c>
      <c r="T199" s="16" t="s">
        <v>198</v>
      </c>
      <c r="U199" s="16">
        <v>329.0</v>
      </c>
      <c r="V199" s="16">
        <v>275.0</v>
      </c>
      <c r="W199" s="16">
        <v>254.0</v>
      </c>
      <c r="X199" s="23" t="s">
        <v>199</v>
      </c>
      <c r="Y199" s="16">
        <v>1.0</v>
      </c>
      <c r="Z199" s="16">
        <v>0.0</v>
      </c>
      <c r="AA199" s="23" t="s">
        <v>199</v>
      </c>
      <c r="AB199" s="16" t="s">
        <v>1439</v>
      </c>
      <c r="AC199" s="16">
        <v>62976.0</v>
      </c>
      <c r="AD199" s="16">
        <v>1384486.0</v>
      </c>
      <c r="AE199" s="23" t="s">
        <v>199</v>
      </c>
      <c r="AF199" s="23" t="s">
        <v>199</v>
      </c>
      <c r="AG199" s="23" t="s">
        <v>199</v>
      </c>
      <c r="AH199" s="23">
        <v>0.0</v>
      </c>
      <c r="AI199" s="23" t="s">
        <v>199</v>
      </c>
      <c r="AJ199" s="23">
        <v>0.0</v>
      </c>
      <c r="AK199" s="24" t="s">
        <v>1440</v>
      </c>
      <c r="AL199" s="25"/>
      <c r="AM199" s="25"/>
      <c r="AN199" s="25"/>
      <c r="AO199" s="25"/>
      <c r="AP199" s="25"/>
    </row>
    <row r="200" ht="15.75" customHeight="1">
      <c r="A200" s="26" t="s">
        <v>1406</v>
      </c>
      <c r="B200" s="26">
        <v>2023.0</v>
      </c>
      <c r="C200" s="26" t="s">
        <v>400</v>
      </c>
      <c r="D200" s="26">
        <v>21.0</v>
      </c>
      <c r="E200" s="26">
        <v>1.0</v>
      </c>
      <c r="F200" s="26" t="s">
        <v>199</v>
      </c>
      <c r="G200" s="26" t="s">
        <v>154</v>
      </c>
      <c r="H200" s="26">
        <v>3.0</v>
      </c>
      <c r="I200" s="26">
        <v>2.0</v>
      </c>
      <c r="J200" s="26">
        <v>56.0</v>
      </c>
      <c r="K200" s="47" t="s">
        <v>1414</v>
      </c>
      <c r="L200" s="47" t="s">
        <v>1415</v>
      </c>
      <c r="M200" s="26" t="s">
        <v>1416</v>
      </c>
      <c r="N200" s="26" t="s">
        <v>19</v>
      </c>
      <c r="O200" s="26" t="s">
        <v>50</v>
      </c>
      <c r="P200" s="28">
        <v>0.4583333333333333</v>
      </c>
      <c r="Q200" s="51" t="s">
        <v>1441</v>
      </c>
      <c r="R200" s="26" t="s">
        <v>288</v>
      </c>
      <c r="S200" s="26" t="s">
        <v>732</v>
      </c>
      <c r="T200" s="26" t="s">
        <v>221</v>
      </c>
      <c r="U200" s="26">
        <v>198.0</v>
      </c>
      <c r="V200" s="26"/>
      <c r="W200" s="26">
        <v>139.0</v>
      </c>
      <c r="X200" s="30" t="s">
        <v>199</v>
      </c>
      <c r="Y200" s="26">
        <v>1.0</v>
      </c>
      <c r="Z200" s="26">
        <v>0.0</v>
      </c>
      <c r="AA200" s="30" t="s">
        <v>199</v>
      </c>
      <c r="AB200" s="26" t="s">
        <v>1444</v>
      </c>
      <c r="AC200" s="26">
        <v>52981.0</v>
      </c>
      <c r="AD200" s="26">
        <v>1384491.0</v>
      </c>
      <c r="AE200" s="30" t="s">
        <v>199</v>
      </c>
      <c r="AF200" s="30" t="s">
        <v>199</v>
      </c>
      <c r="AG200" s="30" t="s">
        <v>199</v>
      </c>
      <c r="AH200" s="30">
        <v>0.0</v>
      </c>
      <c r="AI200" s="30" t="s">
        <v>199</v>
      </c>
      <c r="AJ200" s="30">
        <v>0.0</v>
      </c>
      <c r="AK200" s="32" t="s">
        <v>1445</v>
      </c>
      <c r="AL200" s="25"/>
      <c r="AM200" s="25"/>
      <c r="AN200" s="25"/>
      <c r="AO200" s="25"/>
      <c r="AP200" s="25"/>
    </row>
    <row r="201" ht="15.75" customHeight="1">
      <c r="A201" s="16" t="s">
        <v>1406</v>
      </c>
      <c r="B201" s="16">
        <v>2023.0</v>
      </c>
      <c r="C201" s="16" t="s">
        <v>1446</v>
      </c>
      <c r="D201" s="16">
        <v>20.0</v>
      </c>
      <c r="E201" s="16">
        <v>1.0</v>
      </c>
      <c r="F201" s="16" t="s">
        <v>199</v>
      </c>
      <c r="G201" s="16" t="s">
        <v>154</v>
      </c>
      <c r="H201" s="16">
        <v>2.0</v>
      </c>
      <c r="I201" s="16">
        <v>1.0</v>
      </c>
      <c r="J201" s="16">
        <v>325.0</v>
      </c>
      <c r="K201" s="49" t="s">
        <v>1447</v>
      </c>
      <c r="L201" s="49" t="s">
        <v>1448</v>
      </c>
      <c r="M201" s="16">
        <v>20.0</v>
      </c>
      <c r="N201" s="16" t="s">
        <v>19</v>
      </c>
      <c r="O201" s="16" t="s">
        <v>50</v>
      </c>
      <c r="P201" s="21">
        <v>0.4368055555555555</v>
      </c>
      <c r="Q201" s="52" t="s">
        <v>1434</v>
      </c>
      <c r="R201" s="22" t="s">
        <v>194</v>
      </c>
      <c r="S201" s="16" t="s">
        <v>197</v>
      </c>
      <c r="T201" s="16" t="s">
        <v>198</v>
      </c>
      <c r="U201" s="16">
        <v>120.0</v>
      </c>
      <c r="V201" s="16">
        <v>100.0</v>
      </c>
      <c r="W201" s="16">
        <v>90.0</v>
      </c>
      <c r="X201" s="23" t="s">
        <v>199</v>
      </c>
      <c r="Y201" s="16">
        <v>1.0</v>
      </c>
      <c r="Z201" s="16">
        <v>0.0</v>
      </c>
      <c r="AA201" s="23" t="s">
        <v>199</v>
      </c>
      <c r="AB201" s="16" t="s">
        <v>1449</v>
      </c>
      <c r="AC201" s="23" t="s">
        <v>199</v>
      </c>
      <c r="AD201" s="23" t="s">
        <v>199</v>
      </c>
      <c r="AE201" s="23" t="s">
        <v>199</v>
      </c>
      <c r="AF201" s="23" t="s">
        <v>199</v>
      </c>
      <c r="AG201" s="23" t="s">
        <v>199</v>
      </c>
      <c r="AH201" s="23">
        <v>0.0</v>
      </c>
      <c r="AI201" s="23" t="s">
        <v>199</v>
      </c>
      <c r="AJ201" s="23">
        <v>0.0</v>
      </c>
      <c r="AK201" s="24"/>
      <c r="AL201" s="25"/>
      <c r="AM201" s="25"/>
      <c r="AN201" s="25"/>
      <c r="AO201" s="25"/>
      <c r="AP201" s="25"/>
    </row>
    <row r="202" ht="15.75" customHeight="1">
      <c r="A202" s="26" t="s">
        <v>1406</v>
      </c>
      <c r="B202" s="26">
        <v>2023.0</v>
      </c>
      <c r="C202" s="26" t="s">
        <v>1446</v>
      </c>
      <c r="D202" s="26">
        <v>20.0</v>
      </c>
      <c r="E202" s="26">
        <v>2.0</v>
      </c>
      <c r="F202" s="26" t="s">
        <v>199</v>
      </c>
      <c r="G202" s="26" t="s">
        <v>154</v>
      </c>
      <c r="H202" s="26">
        <v>6.0</v>
      </c>
      <c r="I202" s="26">
        <v>1.0</v>
      </c>
      <c r="J202" s="26">
        <v>329.0</v>
      </c>
      <c r="K202" s="47" t="s">
        <v>1451</v>
      </c>
      <c r="L202" s="47" t="s">
        <v>1452</v>
      </c>
      <c r="M202" s="26" t="s">
        <v>1453</v>
      </c>
      <c r="N202" s="26" t="s">
        <v>19</v>
      </c>
      <c r="O202" s="26" t="s">
        <v>50</v>
      </c>
      <c r="P202" s="28">
        <v>0.44375000000000003</v>
      </c>
      <c r="Q202" s="51" t="s">
        <v>1454</v>
      </c>
      <c r="R202" s="29" t="s">
        <v>194</v>
      </c>
      <c r="S202" s="26" t="s">
        <v>197</v>
      </c>
      <c r="T202" s="26" t="s">
        <v>221</v>
      </c>
      <c r="U202" s="26">
        <v>113.0</v>
      </c>
      <c r="V202" s="26">
        <v>94.0</v>
      </c>
      <c r="W202" s="26">
        <v>85.0</v>
      </c>
      <c r="X202" s="30" t="s">
        <v>199</v>
      </c>
      <c r="Y202" s="26">
        <v>1.0</v>
      </c>
      <c r="Z202" s="26">
        <v>0.0</v>
      </c>
      <c r="AA202" s="30" t="s">
        <v>199</v>
      </c>
      <c r="AB202" s="26" t="s">
        <v>1457</v>
      </c>
      <c r="AC202" s="30" t="s">
        <v>199</v>
      </c>
      <c r="AD202" s="30" t="s">
        <v>199</v>
      </c>
      <c r="AE202" s="30" t="s">
        <v>199</v>
      </c>
      <c r="AF202" s="30" t="s">
        <v>199</v>
      </c>
      <c r="AG202" s="30" t="s">
        <v>199</v>
      </c>
      <c r="AH202" s="30">
        <v>0.0</v>
      </c>
      <c r="AI202" s="30" t="s">
        <v>199</v>
      </c>
      <c r="AJ202" s="30">
        <v>0.0</v>
      </c>
      <c r="AK202" s="32" t="s">
        <v>1459</v>
      </c>
      <c r="AL202" s="25"/>
      <c r="AM202" s="25"/>
      <c r="AN202" s="25"/>
      <c r="AO202" s="25"/>
      <c r="AP202" s="25"/>
    </row>
    <row r="203" ht="15.75" customHeight="1">
      <c r="A203" s="16" t="s">
        <v>1406</v>
      </c>
      <c r="B203" s="16">
        <v>2023.0</v>
      </c>
      <c r="C203" s="16" t="s">
        <v>1446</v>
      </c>
      <c r="D203" s="16">
        <v>20.0</v>
      </c>
      <c r="E203" s="16">
        <v>3.0</v>
      </c>
      <c r="F203" s="16" t="s">
        <v>1460</v>
      </c>
      <c r="G203" s="16" t="s">
        <v>154</v>
      </c>
      <c r="H203" s="16">
        <v>1.0</v>
      </c>
      <c r="I203" s="16">
        <v>3.0</v>
      </c>
      <c r="J203" s="16">
        <v>326.0</v>
      </c>
      <c r="K203" s="49" t="s">
        <v>1461</v>
      </c>
      <c r="L203" s="49" t="s">
        <v>1462</v>
      </c>
      <c r="M203" s="16" t="s">
        <v>1463</v>
      </c>
      <c r="N203" s="16" t="s">
        <v>19</v>
      </c>
      <c r="O203" s="16" t="s">
        <v>50</v>
      </c>
      <c r="P203" s="21">
        <v>0.5340277777777778</v>
      </c>
      <c r="Q203" s="52" t="s">
        <v>1429</v>
      </c>
      <c r="R203" s="22" t="s">
        <v>666</v>
      </c>
      <c r="S203" s="16" t="s">
        <v>668</v>
      </c>
      <c r="T203" s="16" t="s">
        <v>221</v>
      </c>
      <c r="U203" s="16">
        <v>315.0</v>
      </c>
      <c r="V203" s="16">
        <v>274.0</v>
      </c>
      <c r="W203" s="16">
        <v>250.0</v>
      </c>
      <c r="X203" s="23" t="s">
        <v>199</v>
      </c>
      <c r="Y203" s="16">
        <v>1.0</v>
      </c>
      <c r="Z203" s="16">
        <v>0.0</v>
      </c>
      <c r="AA203" s="23" t="s">
        <v>199</v>
      </c>
      <c r="AB203" s="16" t="s">
        <v>1471</v>
      </c>
      <c r="AC203" s="16">
        <v>62970.0</v>
      </c>
      <c r="AD203" s="16">
        <v>1384480.0</v>
      </c>
      <c r="AE203" s="16" t="s">
        <v>1473</v>
      </c>
      <c r="AF203" s="16">
        <v>260597.0</v>
      </c>
      <c r="AG203" s="23" t="s">
        <v>199</v>
      </c>
      <c r="AH203" s="52">
        <v>0.0</v>
      </c>
      <c r="AI203" s="23" t="s">
        <v>199</v>
      </c>
      <c r="AJ203" s="23">
        <v>0.0</v>
      </c>
      <c r="AK203" s="24" t="s">
        <v>1474</v>
      </c>
      <c r="AL203" s="25"/>
      <c r="AM203" s="25"/>
      <c r="AN203" s="25"/>
      <c r="AO203" s="25"/>
      <c r="AP203" s="25"/>
    </row>
    <row r="204" ht="15.75" customHeight="1">
      <c r="A204" s="26" t="s">
        <v>1406</v>
      </c>
      <c r="B204" s="26">
        <v>2023.0</v>
      </c>
      <c r="C204" s="26" t="s">
        <v>1446</v>
      </c>
      <c r="D204" s="26">
        <v>20.0</v>
      </c>
      <c r="E204" s="26">
        <v>4.0</v>
      </c>
      <c r="F204" s="26" t="s">
        <v>199</v>
      </c>
      <c r="G204" s="26" t="s">
        <v>154</v>
      </c>
      <c r="H204" s="26">
        <v>3.0</v>
      </c>
      <c r="I204" s="26">
        <v>3.0</v>
      </c>
      <c r="J204" s="26">
        <v>324.0</v>
      </c>
      <c r="K204" s="47" t="s">
        <v>1475</v>
      </c>
      <c r="L204" s="47" t="s">
        <v>1476</v>
      </c>
      <c r="M204" s="26" t="s">
        <v>1477</v>
      </c>
      <c r="N204" s="26" t="s">
        <v>19</v>
      </c>
      <c r="O204" s="26" t="s">
        <v>50</v>
      </c>
      <c r="P204" s="28">
        <v>0.5777777777777778</v>
      </c>
      <c r="Q204" s="51" t="s">
        <v>1480</v>
      </c>
      <c r="R204" s="29" t="s">
        <v>194</v>
      </c>
      <c r="S204" s="26" t="s">
        <v>197</v>
      </c>
      <c r="T204" s="26" t="s">
        <v>221</v>
      </c>
      <c r="U204" s="26">
        <v>143.0</v>
      </c>
      <c r="V204" s="26">
        <v>118.0</v>
      </c>
      <c r="W204" s="26">
        <v>107.0</v>
      </c>
      <c r="X204" s="30" t="s">
        <v>199</v>
      </c>
      <c r="Y204" s="26">
        <v>1.0</v>
      </c>
      <c r="Z204" s="26">
        <v>0.0</v>
      </c>
      <c r="AA204" s="30" t="s">
        <v>199</v>
      </c>
      <c r="AB204" s="26" t="s">
        <v>1482</v>
      </c>
      <c r="AC204" s="30" t="s">
        <v>199</v>
      </c>
      <c r="AD204" s="30" t="s">
        <v>199</v>
      </c>
      <c r="AE204" s="30" t="s">
        <v>199</v>
      </c>
      <c r="AF204" s="30" t="s">
        <v>199</v>
      </c>
      <c r="AG204" s="30" t="s">
        <v>199</v>
      </c>
      <c r="AH204" s="51">
        <v>0.0</v>
      </c>
      <c r="AI204" s="30" t="s">
        <v>199</v>
      </c>
      <c r="AJ204" s="30">
        <v>0.0</v>
      </c>
      <c r="AK204" s="32"/>
      <c r="AL204" s="25"/>
      <c r="AM204" s="25"/>
      <c r="AN204" s="25"/>
      <c r="AO204" s="25"/>
      <c r="AP204" s="25"/>
    </row>
    <row r="205" ht="15.75" customHeight="1">
      <c r="A205" s="16" t="s">
        <v>1406</v>
      </c>
      <c r="B205" s="16">
        <v>2023.0</v>
      </c>
      <c r="C205" s="16" t="s">
        <v>1446</v>
      </c>
      <c r="D205" s="16">
        <v>20.0</v>
      </c>
      <c r="E205" s="16">
        <v>5.0</v>
      </c>
      <c r="F205" s="16" t="s">
        <v>199</v>
      </c>
      <c r="G205" s="16" t="s">
        <v>154</v>
      </c>
      <c r="H205" s="16">
        <v>5.0</v>
      </c>
      <c r="I205" s="16">
        <v>3.0</v>
      </c>
      <c r="J205" s="16">
        <v>322.0</v>
      </c>
      <c r="K205" s="49" t="s">
        <v>1484</v>
      </c>
      <c r="L205" s="49" t="s">
        <v>1485</v>
      </c>
      <c r="M205" s="16" t="s">
        <v>1486</v>
      </c>
      <c r="N205" s="16" t="s">
        <v>19</v>
      </c>
      <c r="O205" s="16" t="s">
        <v>50</v>
      </c>
      <c r="P205" s="21">
        <v>0.5875</v>
      </c>
      <c r="Q205" s="52" t="s">
        <v>1429</v>
      </c>
      <c r="R205" s="22" t="s">
        <v>194</v>
      </c>
      <c r="S205" s="16" t="s">
        <v>197</v>
      </c>
      <c r="T205" s="16" t="s">
        <v>198</v>
      </c>
      <c r="U205" s="16">
        <v>113.0</v>
      </c>
      <c r="V205" s="16">
        <v>92.0</v>
      </c>
      <c r="W205" s="16">
        <v>81.0</v>
      </c>
      <c r="X205" s="23" t="s">
        <v>199</v>
      </c>
      <c r="Y205" s="16">
        <v>1.0</v>
      </c>
      <c r="Z205" s="16">
        <v>0.0</v>
      </c>
      <c r="AA205" s="23" t="s">
        <v>199</v>
      </c>
      <c r="AB205" s="16" t="s">
        <v>1489</v>
      </c>
      <c r="AC205" s="23" t="s">
        <v>199</v>
      </c>
      <c r="AD205" s="23" t="s">
        <v>199</v>
      </c>
      <c r="AE205" s="23" t="s">
        <v>199</v>
      </c>
      <c r="AF205" s="23" t="s">
        <v>199</v>
      </c>
      <c r="AG205" s="23" t="s">
        <v>199</v>
      </c>
      <c r="AH205" s="52">
        <v>0.0</v>
      </c>
      <c r="AI205" s="23" t="s">
        <v>199</v>
      </c>
      <c r="AJ205" s="23">
        <v>0.0</v>
      </c>
      <c r="AK205" s="24"/>
      <c r="AL205" s="25"/>
      <c r="AM205" s="25"/>
      <c r="AN205" s="25"/>
      <c r="AO205" s="25"/>
      <c r="AP205" s="25"/>
    </row>
    <row r="206" ht="15.75" customHeight="1">
      <c r="A206" s="26" t="s">
        <v>1406</v>
      </c>
      <c r="B206" s="26">
        <v>2023.0</v>
      </c>
      <c r="C206" s="26" t="s">
        <v>1446</v>
      </c>
      <c r="D206" s="26">
        <v>20.0</v>
      </c>
      <c r="E206" s="26">
        <v>6.0</v>
      </c>
      <c r="F206" s="26" t="s">
        <v>199</v>
      </c>
      <c r="G206" s="26" t="s">
        <v>154</v>
      </c>
      <c r="H206" s="26">
        <v>8.0</v>
      </c>
      <c r="I206" s="26">
        <v>3.0</v>
      </c>
      <c r="J206" s="26">
        <v>260.0</v>
      </c>
      <c r="K206" s="47" t="s">
        <v>1491</v>
      </c>
      <c r="L206" s="47" t="s">
        <v>1492</v>
      </c>
      <c r="M206" s="26" t="s">
        <v>1493</v>
      </c>
      <c r="N206" s="26" t="s">
        <v>19</v>
      </c>
      <c r="O206" s="26" t="s">
        <v>50</v>
      </c>
      <c r="P206" s="28">
        <v>0.5930555555555556</v>
      </c>
      <c r="Q206" s="51" t="s">
        <v>1454</v>
      </c>
      <c r="R206" s="29" t="s">
        <v>194</v>
      </c>
      <c r="S206" s="26" t="s">
        <v>197</v>
      </c>
      <c r="T206" s="26" t="s">
        <v>221</v>
      </c>
      <c r="U206" s="26">
        <v>105.0</v>
      </c>
      <c r="V206" s="26">
        <v>86.0</v>
      </c>
      <c r="W206" s="26">
        <v>75.0</v>
      </c>
      <c r="X206" s="30" t="s">
        <v>199</v>
      </c>
      <c r="Y206" s="26">
        <v>1.0</v>
      </c>
      <c r="Z206" s="26">
        <v>0.0</v>
      </c>
      <c r="AA206" s="30" t="s">
        <v>199</v>
      </c>
      <c r="AB206" s="26" t="s">
        <v>1496</v>
      </c>
      <c r="AC206" s="30" t="s">
        <v>199</v>
      </c>
      <c r="AD206" s="30" t="s">
        <v>199</v>
      </c>
      <c r="AE206" s="30" t="s">
        <v>199</v>
      </c>
      <c r="AF206" s="30" t="s">
        <v>199</v>
      </c>
      <c r="AG206" s="30" t="s">
        <v>199</v>
      </c>
      <c r="AH206" s="51">
        <v>0.0</v>
      </c>
      <c r="AI206" s="30" t="s">
        <v>199</v>
      </c>
      <c r="AJ206" s="30">
        <v>0.0</v>
      </c>
      <c r="AK206" s="32"/>
      <c r="AL206" s="25"/>
      <c r="AM206" s="25"/>
      <c r="AN206" s="25"/>
      <c r="AO206" s="25"/>
      <c r="AP206" s="25"/>
    </row>
    <row r="207" ht="15.75" customHeight="1">
      <c r="A207" s="16" t="s">
        <v>1406</v>
      </c>
      <c r="B207" s="16">
        <v>2023.0</v>
      </c>
      <c r="C207" s="16" t="s">
        <v>1446</v>
      </c>
      <c r="D207" s="16">
        <v>20.0</v>
      </c>
      <c r="E207" s="16">
        <v>7.0</v>
      </c>
      <c r="F207" s="16" t="s">
        <v>199</v>
      </c>
      <c r="G207" s="16" t="s">
        <v>154</v>
      </c>
      <c r="H207" s="16">
        <v>1.0</v>
      </c>
      <c r="I207" s="16">
        <v>4.0</v>
      </c>
      <c r="J207" s="16">
        <v>326.0</v>
      </c>
      <c r="K207" s="49" t="s">
        <v>1461</v>
      </c>
      <c r="L207" s="49" t="s">
        <v>1462</v>
      </c>
      <c r="M207" s="16" t="s">
        <v>1463</v>
      </c>
      <c r="N207" s="16" t="s">
        <v>19</v>
      </c>
      <c r="O207" s="16" t="s">
        <v>50</v>
      </c>
      <c r="P207" s="21">
        <v>0.6173611111111111</v>
      </c>
      <c r="Q207" s="52" t="s">
        <v>1429</v>
      </c>
      <c r="R207" s="22" t="s">
        <v>666</v>
      </c>
      <c r="S207" s="16" t="s">
        <v>668</v>
      </c>
      <c r="T207" s="16" t="s">
        <v>221</v>
      </c>
      <c r="U207" s="16">
        <v>310.0</v>
      </c>
      <c r="V207" s="16">
        <v>253.0</v>
      </c>
      <c r="W207" s="16">
        <v>235.0</v>
      </c>
      <c r="X207" s="23" t="s">
        <v>199</v>
      </c>
      <c r="Y207" s="16">
        <v>1.0</v>
      </c>
      <c r="Z207" s="16">
        <v>0.0</v>
      </c>
      <c r="AA207" s="23" t="s">
        <v>199</v>
      </c>
      <c r="AB207" s="16" t="s">
        <v>1499</v>
      </c>
      <c r="AC207" s="16">
        <v>62974.0</v>
      </c>
      <c r="AD207" s="16">
        <v>1384484.0</v>
      </c>
      <c r="AE207" s="16" t="s">
        <v>1505</v>
      </c>
      <c r="AF207" s="16">
        <v>260784.0</v>
      </c>
      <c r="AG207" s="23" t="s">
        <v>199</v>
      </c>
      <c r="AH207" s="52">
        <v>0.0</v>
      </c>
      <c r="AI207" s="23" t="s">
        <v>199</v>
      </c>
      <c r="AJ207" s="23">
        <v>0.0</v>
      </c>
      <c r="AK207" s="24"/>
      <c r="AL207" s="25"/>
      <c r="AM207" s="25"/>
      <c r="AN207" s="25"/>
      <c r="AO207" s="25"/>
      <c r="AP207" s="25"/>
    </row>
    <row r="208" ht="15.75" customHeight="1">
      <c r="A208" s="26" t="s">
        <v>1406</v>
      </c>
      <c r="B208" s="26">
        <v>2023.0</v>
      </c>
      <c r="C208" s="26" t="s">
        <v>1446</v>
      </c>
      <c r="D208" s="26">
        <v>20.0</v>
      </c>
      <c r="E208" s="26">
        <v>8.0</v>
      </c>
      <c r="F208" s="26" t="s">
        <v>199</v>
      </c>
      <c r="G208" s="26" t="s">
        <v>154</v>
      </c>
      <c r="H208" s="26">
        <v>9.0</v>
      </c>
      <c r="I208" s="26">
        <v>2.0</v>
      </c>
      <c r="J208" s="26">
        <v>261.0</v>
      </c>
      <c r="K208" s="47" t="s">
        <v>1512</v>
      </c>
      <c r="L208" s="47" t="s">
        <v>1513</v>
      </c>
      <c r="M208" s="26" t="s">
        <v>1514</v>
      </c>
      <c r="N208" s="26" t="s">
        <v>19</v>
      </c>
      <c r="O208" s="26" t="s">
        <v>50</v>
      </c>
      <c r="P208" s="28">
        <v>0.6090277777777778</v>
      </c>
      <c r="Q208" s="51" t="s">
        <v>1434</v>
      </c>
      <c r="R208" s="29" t="s">
        <v>666</v>
      </c>
      <c r="S208" s="26" t="s">
        <v>668</v>
      </c>
      <c r="T208" s="26" t="s">
        <v>198</v>
      </c>
      <c r="U208" s="26">
        <v>259.0</v>
      </c>
      <c r="V208" s="26">
        <v>215.0</v>
      </c>
      <c r="W208" s="26">
        <v>200.0</v>
      </c>
      <c r="X208" s="30" t="s">
        <v>199</v>
      </c>
      <c r="Y208" s="26">
        <v>1.0</v>
      </c>
      <c r="Z208" s="26">
        <v>0.0</v>
      </c>
      <c r="AA208" s="30" t="s">
        <v>199</v>
      </c>
      <c r="AB208" s="26" t="s">
        <v>1518</v>
      </c>
      <c r="AC208" s="30" t="s">
        <v>199</v>
      </c>
      <c r="AD208" s="30" t="s">
        <v>199</v>
      </c>
      <c r="AE208" s="26" t="s">
        <v>1519</v>
      </c>
      <c r="AF208" s="26">
        <v>260601.0</v>
      </c>
      <c r="AG208" s="30" t="s">
        <v>199</v>
      </c>
      <c r="AH208" s="51">
        <v>0.0</v>
      </c>
      <c r="AI208" s="30" t="s">
        <v>199</v>
      </c>
      <c r="AJ208" s="30">
        <v>0.0</v>
      </c>
      <c r="AK208" s="32"/>
      <c r="AL208" s="25"/>
      <c r="AM208" s="25"/>
      <c r="AN208" s="25"/>
      <c r="AO208" s="25"/>
      <c r="AP208" s="25"/>
    </row>
    <row r="209" ht="15.75" customHeight="1">
      <c r="A209" s="16" t="s">
        <v>1406</v>
      </c>
      <c r="B209" s="16">
        <v>2023.0</v>
      </c>
      <c r="C209" s="16" t="s">
        <v>1446</v>
      </c>
      <c r="D209" s="16">
        <v>21.0</v>
      </c>
      <c r="E209" s="16">
        <v>1.0</v>
      </c>
      <c r="F209" s="16" t="s">
        <v>1521</v>
      </c>
      <c r="G209" s="16" t="s">
        <v>154</v>
      </c>
      <c r="H209" s="16">
        <v>3.0</v>
      </c>
      <c r="I209" s="16">
        <v>3.0</v>
      </c>
      <c r="J209" s="16">
        <v>320.0</v>
      </c>
      <c r="K209" s="49" t="s">
        <v>1451</v>
      </c>
      <c r="L209" s="49" t="s">
        <v>1452</v>
      </c>
      <c r="M209" s="16">
        <v>23.0</v>
      </c>
      <c r="N209" s="16" t="s">
        <v>19</v>
      </c>
      <c r="O209" s="16" t="s">
        <v>50</v>
      </c>
      <c r="P209" s="21">
        <v>0.48125</v>
      </c>
      <c r="Q209" s="52" t="s">
        <v>1526</v>
      </c>
      <c r="R209" s="22" t="s">
        <v>666</v>
      </c>
      <c r="S209" s="16" t="s">
        <v>668</v>
      </c>
      <c r="T209" s="16" t="s">
        <v>221</v>
      </c>
      <c r="U209" s="16">
        <v>360.0</v>
      </c>
      <c r="V209" s="16">
        <v>320.0</v>
      </c>
      <c r="W209" s="16">
        <v>294.0</v>
      </c>
      <c r="X209" s="23" t="s">
        <v>199</v>
      </c>
      <c r="Y209" s="16">
        <v>1.0</v>
      </c>
      <c r="Z209" s="16">
        <v>0.0</v>
      </c>
      <c r="AA209" s="23" t="s">
        <v>199</v>
      </c>
      <c r="AB209" s="16" t="s">
        <v>1528</v>
      </c>
      <c r="AC209" s="23" t="s">
        <v>199</v>
      </c>
      <c r="AD209" s="23" t="s">
        <v>199</v>
      </c>
      <c r="AE209" s="16" t="s">
        <v>1529</v>
      </c>
      <c r="AF209" s="16">
        <v>260598.0</v>
      </c>
      <c r="AG209" s="23" t="s">
        <v>199</v>
      </c>
      <c r="AH209" s="52">
        <v>0.0</v>
      </c>
      <c r="AI209" s="23" t="s">
        <v>199</v>
      </c>
      <c r="AJ209" s="23">
        <v>0.0</v>
      </c>
      <c r="AK209" s="24" t="s">
        <v>1530</v>
      </c>
      <c r="AL209" s="25"/>
      <c r="AM209" s="25"/>
      <c r="AN209" s="25"/>
      <c r="AO209" s="25"/>
      <c r="AP209" s="25"/>
    </row>
    <row r="210" ht="15.75" customHeight="1">
      <c r="A210" s="26" t="s">
        <v>1406</v>
      </c>
      <c r="B210" s="26">
        <v>2023.0</v>
      </c>
      <c r="C210" s="26" t="s">
        <v>1446</v>
      </c>
      <c r="D210" s="26">
        <v>21.0</v>
      </c>
      <c r="E210" s="26">
        <v>2.0</v>
      </c>
      <c r="F210" s="26" t="s">
        <v>199</v>
      </c>
      <c r="G210" s="26" t="s">
        <v>154</v>
      </c>
      <c r="H210" s="26">
        <v>6.0</v>
      </c>
      <c r="I210" s="26">
        <v>4.0</v>
      </c>
      <c r="J210" s="26">
        <v>326.0</v>
      </c>
      <c r="K210" s="47" t="s">
        <v>1461</v>
      </c>
      <c r="L210" s="47" t="s">
        <v>1462</v>
      </c>
      <c r="M210" s="26" t="s">
        <v>1463</v>
      </c>
      <c r="N210" s="26" t="s">
        <v>19</v>
      </c>
      <c r="O210" s="26" t="s">
        <v>50</v>
      </c>
      <c r="P210" s="28">
        <v>0.5166666666666667</v>
      </c>
      <c r="Q210" s="51" t="s">
        <v>1534</v>
      </c>
      <c r="R210" s="29" t="s">
        <v>666</v>
      </c>
      <c r="S210" s="26" t="s">
        <v>668</v>
      </c>
      <c r="T210" s="26" t="s">
        <v>198</v>
      </c>
      <c r="U210" s="26">
        <v>330.0</v>
      </c>
      <c r="V210" s="26">
        <v>278.0</v>
      </c>
      <c r="W210" s="26">
        <v>255.0</v>
      </c>
      <c r="X210" s="30" t="s">
        <v>199</v>
      </c>
      <c r="Y210" s="26">
        <v>1.0</v>
      </c>
      <c r="Z210" s="26">
        <v>0.0</v>
      </c>
      <c r="AA210" s="30" t="s">
        <v>199</v>
      </c>
      <c r="AB210" s="26" t="s">
        <v>1542</v>
      </c>
      <c r="AC210" s="30" t="s">
        <v>199</v>
      </c>
      <c r="AD210" s="30" t="s">
        <v>199</v>
      </c>
      <c r="AE210" s="26" t="s">
        <v>1543</v>
      </c>
      <c r="AF210" s="26">
        <v>260592.0</v>
      </c>
      <c r="AG210" s="30" t="s">
        <v>199</v>
      </c>
      <c r="AH210" s="51">
        <v>0.0</v>
      </c>
      <c r="AI210" s="30" t="s">
        <v>199</v>
      </c>
      <c r="AJ210" s="30">
        <v>0.0</v>
      </c>
      <c r="AK210" s="32" t="s">
        <v>1545</v>
      </c>
      <c r="AL210" s="25"/>
      <c r="AM210" s="25"/>
      <c r="AN210" s="25"/>
      <c r="AO210" s="25"/>
      <c r="AP210" s="25"/>
    </row>
    <row r="211" ht="15.75" customHeight="1">
      <c r="A211" s="16" t="s">
        <v>1406</v>
      </c>
      <c r="B211" s="16">
        <v>2023.0</v>
      </c>
      <c r="C211" s="16" t="s">
        <v>1446</v>
      </c>
      <c r="D211" s="16">
        <v>21.0</v>
      </c>
      <c r="E211" s="16">
        <v>3.0</v>
      </c>
      <c r="F211" s="16" t="s">
        <v>1549</v>
      </c>
      <c r="G211" s="16" t="s">
        <v>154</v>
      </c>
      <c r="H211" s="16">
        <v>5.0</v>
      </c>
      <c r="I211" s="16">
        <v>7.0</v>
      </c>
      <c r="J211" s="16">
        <v>324.0</v>
      </c>
      <c r="K211" s="49" t="s">
        <v>1475</v>
      </c>
      <c r="L211" s="49" t="s">
        <v>1476</v>
      </c>
      <c r="M211" s="16" t="s">
        <v>1477</v>
      </c>
      <c r="N211" s="16" t="s">
        <v>19</v>
      </c>
      <c r="O211" s="16" t="s">
        <v>50</v>
      </c>
      <c r="P211" s="21">
        <v>0.5638888888888889</v>
      </c>
      <c r="Q211" s="52" t="s">
        <v>1551</v>
      </c>
      <c r="R211" s="22" t="s">
        <v>666</v>
      </c>
      <c r="S211" s="16" t="s">
        <v>668</v>
      </c>
      <c r="T211" s="16" t="s">
        <v>221</v>
      </c>
      <c r="U211" s="16">
        <v>323.0</v>
      </c>
      <c r="V211" s="16">
        <v>266.0</v>
      </c>
      <c r="W211" s="16">
        <v>148.0</v>
      </c>
      <c r="X211" s="16"/>
      <c r="Y211" s="16">
        <v>1.0</v>
      </c>
      <c r="Z211" s="16">
        <v>0.0</v>
      </c>
      <c r="AA211" s="23" t="s">
        <v>199</v>
      </c>
      <c r="AB211" s="16" t="s">
        <v>1553</v>
      </c>
      <c r="AC211" s="23" t="s">
        <v>199</v>
      </c>
      <c r="AD211" s="23" t="s">
        <v>199</v>
      </c>
      <c r="AE211" s="23" t="s">
        <v>199</v>
      </c>
      <c r="AF211" s="23" t="s">
        <v>199</v>
      </c>
      <c r="AG211" s="23" t="s">
        <v>199</v>
      </c>
      <c r="AH211" s="23">
        <v>0.0</v>
      </c>
      <c r="AI211" s="23" t="s">
        <v>199</v>
      </c>
      <c r="AJ211" s="23">
        <v>0.0</v>
      </c>
      <c r="AK211" s="24" t="s">
        <v>1556</v>
      </c>
      <c r="AL211" s="25"/>
      <c r="AM211" s="25"/>
      <c r="AN211" s="25"/>
      <c r="AO211" s="25"/>
      <c r="AP211" s="25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32"/>
      <c r="AL212" s="25"/>
      <c r="AM212" s="25"/>
      <c r="AN212" s="25"/>
      <c r="AO212" s="25"/>
      <c r="AP212" s="25"/>
    </row>
    <row r="213" ht="15.7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24"/>
      <c r="AL213" s="25"/>
      <c r="AM213" s="25"/>
      <c r="AN213" s="25"/>
      <c r="AO213" s="25"/>
      <c r="AP213" s="25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32"/>
      <c r="AL214" s="25"/>
      <c r="AM214" s="25"/>
      <c r="AN214" s="25"/>
      <c r="AO214" s="25"/>
      <c r="AP214" s="25"/>
    </row>
    <row r="215" ht="15.7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24"/>
      <c r="AL215" s="25"/>
      <c r="AM215" s="25"/>
      <c r="AN215" s="25"/>
      <c r="AO215" s="25"/>
      <c r="AP215" s="25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32"/>
      <c r="AL216" s="25"/>
      <c r="AM216" s="25"/>
      <c r="AN216" s="25"/>
      <c r="AO216" s="25"/>
      <c r="AP216" s="25"/>
    </row>
    <row r="217" ht="15.7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24"/>
      <c r="AL217" s="25"/>
      <c r="AM217" s="25"/>
      <c r="AN217" s="25"/>
      <c r="AO217" s="25"/>
      <c r="AP217" s="25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32"/>
      <c r="AL218" s="25"/>
      <c r="AM218" s="25"/>
      <c r="AN218" s="25"/>
      <c r="AO218" s="25"/>
      <c r="AP218" s="25"/>
    </row>
    <row r="219" ht="15.7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24"/>
      <c r="AL219" s="25"/>
      <c r="AM219" s="25"/>
      <c r="AN219" s="25"/>
      <c r="AO219" s="25"/>
      <c r="AP219" s="25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32"/>
      <c r="AL220" s="25"/>
      <c r="AM220" s="25"/>
      <c r="AN220" s="25"/>
      <c r="AO220" s="25"/>
      <c r="AP220" s="25"/>
    </row>
    <row r="221" ht="15.7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24"/>
      <c r="AL221" s="25"/>
      <c r="AM221" s="25"/>
      <c r="AN221" s="25"/>
      <c r="AO221" s="25"/>
      <c r="AP221" s="25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32"/>
      <c r="AL222" s="25"/>
      <c r="AM222" s="25"/>
      <c r="AN222" s="25"/>
      <c r="AO222" s="25"/>
      <c r="AP222" s="25"/>
    </row>
    <row r="223" ht="15.7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24"/>
      <c r="AL223" s="25"/>
      <c r="AM223" s="25"/>
      <c r="AN223" s="25"/>
      <c r="AO223" s="25"/>
      <c r="AP223" s="25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32"/>
      <c r="AL224" s="25"/>
      <c r="AM224" s="25"/>
      <c r="AN224" s="25"/>
      <c r="AO224" s="25"/>
      <c r="AP224" s="25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24"/>
      <c r="AL225" s="25"/>
      <c r="AM225" s="25"/>
      <c r="AN225" s="25"/>
      <c r="AO225" s="25"/>
      <c r="AP225" s="25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32"/>
      <c r="AL226" s="25"/>
      <c r="AM226" s="25"/>
      <c r="AN226" s="25"/>
      <c r="AO226" s="25"/>
      <c r="AP226" s="25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24"/>
      <c r="AL227" s="25"/>
      <c r="AM227" s="25"/>
      <c r="AN227" s="25"/>
      <c r="AO227" s="25"/>
      <c r="AP227" s="25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32"/>
      <c r="AL228" s="25"/>
      <c r="AM228" s="25"/>
      <c r="AN228" s="25"/>
      <c r="AO228" s="25"/>
      <c r="AP228" s="25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24"/>
      <c r="AL229" s="25"/>
      <c r="AM229" s="25"/>
      <c r="AN229" s="25"/>
      <c r="AO229" s="25"/>
      <c r="AP229" s="25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32"/>
      <c r="AL230" s="25"/>
      <c r="AM230" s="25"/>
      <c r="AN230" s="25"/>
      <c r="AO230" s="25"/>
      <c r="AP230" s="25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24"/>
      <c r="AL231" s="25"/>
      <c r="AM231" s="25"/>
      <c r="AN231" s="25"/>
      <c r="AO231" s="25"/>
      <c r="AP231" s="25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32"/>
      <c r="AL232" s="25"/>
      <c r="AM232" s="25"/>
      <c r="AN232" s="25"/>
      <c r="AO232" s="25"/>
      <c r="AP232" s="25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24"/>
      <c r="AL233" s="25"/>
      <c r="AM233" s="25"/>
      <c r="AN233" s="25"/>
      <c r="AO233" s="25"/>
      <c r="AP233" s="25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32"/>
      <c r="AL234" s="25"/>
      <c r="AM234" s="25"/>
      <c r="AN234" s="25"/>
      <c r="AO234" s="25"/>
      <c r="AP234" s="25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24"/>
      <c r="AL235" s="25"/>
      <c r="AM235" s="25"/>
      <c r="AN235" s="25"/>
      <c r="AO235" s="25"/>
      <c r="AP235" s="25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32"/>
      <c r="AL236" s="25"/>
      <c r="AM236" s="25"/>
      <c r="AN236" s="25"/>
      <c r="AO236" s="25"/>
      <c r="AP236" s="25"/>
    </row>
    <row r="237" ht="15.7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24"/>
      <c r="AL237" s="25"/>
      <c r="AM237" s="25"/>
      <c r="AN237" s="25"/>
      <c r="AO237" s="25"/>
      <c r="AP237" s="25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32"/>
      <c r="AL238" s="25"/>
      <c r="AM238" s="25"/>
      <c r="AN238" s="25"/>
      <c r="AO238" s="25"/>
      <c r="AP238" s="25"/>
    </row>
    <row r="239" ht="15.7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24"/>
      <c r="AL239" s="25"/>
      <c r="AM239" s="25"/>
      <c r="AN239" s="25"/>
      <c r="AO239" s="25"/>
      <c r="AP239" s="25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32"/>
      <c r="AL240" s="25"/>
      <c r="AM240" s="25"/>
      <c r="AN240" s="25"/>
      <c r="AO240" s="25"/>
      <c r="AP240" s="25"/>
    </row>
    <row r="241" ht="15.7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24"/>
      <c r="AL241" s="25"/>
      <c r="AM241" s="25"/>
      <c r="AN241" s="25"/>
      <c r="AO241" s="25"/>
      <c r="AP241" s="25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32"/>
      <c r="AL242" s="25"/>
      <c r="AM242" s="25"/>
      <c r="AN242" s="25"/>
      <c r="AO242" s="25"/>
      <c r="AP242" s="25"/>
    </row>
    <row r="243" ht="15.7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24"/>
      <c r="AL243" s="25"/>
      <c r="AM243" s="25"/>
      <c r="AN243" s="25"/>
      <c r="AO243" s="25"/>
      <c r="AP243" s="25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32"/>
      <c r="AL244" s="25"/>
      <c r="AM244" s="25"/>
      <c r="AN244" s="25"/>
      <c r="AO244" s="25"/>
      <c r="AP244" s="25"/>
    </row>
    <row r="245" ht="15.7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24"/>
      <c r="AL245" s="25"/>
      <c r="AM245" s="25"/>
      <c r="AN245" s="25"/>
      <c r="AO245" s="25"/>
      <c r="AP245" s="25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32"/>
      <c r="AL246" s="25"/>
      <c r="AM246" s="25"/>
      <c r="AN246" s="25"/>
      <c r="AO246" s="25"/>
      <c r="AP246" s="25"/>
    </row>
    <row r="247" ht="15.7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24"/>
      <c r="AL247" s="25"/>
      <c r="AM247" s="25"/>
      <c r="AN247" s="25"/>
      <c r="AO247" s="25"/>
      <c r="AP247" s="25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32"/>
      <c r="AL248" s="25"/>
      <c r="AM248" s="25"/>
      <c r="AN248" s="25"/>
      <c r="AO248" s="25"/>
      <c r="AP248" s="25"/>
    </row>
    <row r="249" ht="15.7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24"/>
      <c r="AL249" s="25"/>
      <c r="AM249" s="25"/>
      <c r="AN249" s="25"/>
      <c r="AO249" s="25"/>
      <c r="AP249" s="25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32"/>
      <c r="AL250" s="25"/>
      <c r="AM250" s="25"/>
      <c r="AN250" s="25"/>
      <c r="AO250" s="25"/>
      <c r="AP250" s="25"/>
    </row>
    <row r="251" ht="15.7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24"/>
      <c r="AL251" s="25"/>
      <c r="AM251" s="25"/>
      <c r="AN251" s="25"/>
      <c r="AO251" s="25"/>
      <c r="AP251" s="25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32"/>
      <c r="AL252" s="25"/>
      <c r="AM252" s="25"/>
      <c r="AN252" s="25"/>
      <c r="AO252" s="25"/>
      <c r="AP252" s="25"/>
    </row>
    <row r="253" ht="15.7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24"/>
      <c r="AL253" s="25"/>
      <c r="AM253" s="25"/>
      <c r="AN253" s="25"/>
      <c r="AO253" s="25"/>
      <c r="AP253" s="25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32"/>
      <c r="AL254" s="25"/>
      <c r="AM254" s="25"/>
      <c r="AN254" s="25"/>
      <c r="AO254" s="25"/>
      <c r="AP254" s="25"/>
    </row>
    <row r="255" ht="15.7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24"/>
      <c r="AL255" s="25"/>
      <c r="AM255" s="25"/>
      <c r="AN255" s="25"/>
      <c r="AO255" s="25"/>
      <c r="AP255" s="25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32"/>
      <c r="AL256" s="25"/>
      <c r="AM256" s="25"/>
      <c r="AN256" s="25"/>
      <c r="AO256" s="25"/>
      <c r="AP256" s="25"/>
    </row>
    <row r="257" ht="15.7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24"/>
      <c r="AL257" s="25"/>
      <c r="AM257" s="25"/>
      <c r="AN257" s="25"/>
      <c r="AO257" s="25"/>
      <c r="AP257" s="25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32"/>
      <c r="AL258" s="25"/>
      <c r="AM258" s="25"/>
      <c r="AN258" s="25"/>
      <c r="AO258" s="25"/>
      <c r="AP258" s="25"/>
    </row>
    <row r="259" ht="15.7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24"/>
      <c r="AL259" s="25"/>
      <c r="AM259" s="25"/>
      <c r="AN259" s="25"/>
      <c r="AO259" s="25"/>
      <c r="AP259" s="25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32"/>
      <c r="AL260" s="25"/>
      <c r="AM260" s="25"/>
      <c r="AN260" s="25"/>
      <c r="AO260" s="25"/>
      <c r="AP260" s="25"/>
    </row>
    <row r="261" ht="15.7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24"/>
      <c r="AL261" s="25"/>
      <c r="AM261" s="25"/>
      <c r="AN261" s="25"/>
      <c r="AO261" s="25"/>
      <c r="AP261" s="25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32"/>
      <c r="AL262" s="25"/>
      <c r="AM262" s="25"/>
      <c r="AN262" s="25"/>
      <c r="AO262" s="25"/>
      <c r="AP262" s="25"/>
    </row>
    <row r="263" ht="15.7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24"/>
      <c r="AL263" s="25"/>
      <c r="AM263" s="25"/>
      <c r="AN263" s="25"/>
      <c r="AO263" s="25"/>
      <c r="AP263" s="25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32"/>
      <c r="AL264" s="25"/>
      <c r="AM264" s="25"/>
      <c r="AN264" s="25"/>
      <c r="AO264" s="25"/>
      <c r="AP264" s="25"/>
    </row>
    <row r="265" ht="15.7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24"/>
      <c r="AL265" s="25"/>
      <c r="AM265" s="25"/>
      <c r="AN265" s="25"/>
      <c r="AO265" s="25"/>
      <c r="AP265" s="25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32"/>
      <c r="AL266" s="25"/>
      <c r="AM266" s="25"/>
      <c r="AN266" s="25"/>
      <c r="AO266" s="25"/>
      <c r="AP266" s="25"/>
    </row>
    <row r="267" ht="15.7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24"/>
      <c r="AL267" s="25"/>
      <c r="AM267" s="25"/>
      <c r="AN267" s="25"/>
      <c r="AO267" s="25"/>
      <c r="AP267" s="25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32"/>
      <c r="AL268" s="25"/>
      <c r="AM268" s="25"/>
      <c r="AN268" s="25"/>
      <c r="AO268" s="25"/>
      <c r="AP268" s="25"/>
    </row>
    <row r="269" ht="15.7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24"/>
      <c r="AL269" s="25"/>
      <c r="AM269" s="25"/>
      <c r="AN269" s="25"/>
      <c r="AO269" s="25"/>
      <c r="AP269" s="25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32"/>
      <c r="AL270" s="25"/>
      <c r="AM270" s="25"/>
      <c r="AN270" s="25"/>
      <c r="AO270" s="25"/>
      <c r="AP270" s="25"/>
    </row>
    <row r="271" ht="15.7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24"/>
      <c r="AL271" s="25"/>
      <c r="AM271" s="25"/>
      <c r="AN271" s="25"/>
      <c r="AO271" s="25"/>
      <c r="AP271" s="25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32"/>
      <c r="AL272" s="25"/>
      <c r="AM272" s="25"/>
      <c r="AN272" s="25"/>
      <c r="AO272" s="25"/>
      <c r="AP272" s="25"/>
    </row>
    <row r="273" ht="15.7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24"/>
      <c r="AL273" s="25"/>
      <c r="AM273" s="25"/>
      <c r="AN273" s="25"/>
      <c r="AO273" s="25"/>
      <c r="AP273" s="25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32"/>
      <c r="AL274" s="25"/>
      <c r="AM274" s="25"/>
      <c r="AN274" s="25"/>
      <c r="AO274" s="25"/>
      <c r="AP274" s="25"/>
    </row>
    <row r="275" ht="15.7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24"/>
      <c r="AL275" s="25"/>
      <c r="AM275" s="25"/>
      <c r="AN275" s="25"/>
      <c r="AO275" s="25"/>
      <c r="AP275" s="25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32"/>
      <c r="AL276" s="25"/>
      <c r="AM276" s="25"/>
      <c r="AN276" s="25"/>
      <c r="AO276" s="25"/>
      <c r="AP276" s="25"/>
    </row>
    <row r="277" ht="15.7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24"/>
      <c r="AL277" s="25"/>
      <c r="AM277" s="25"/>
      <c r="AN277" s="25"/>
      <c r="AO277" s="25"/>
      <c r="AP277" s="25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32"/>
      <c r="AL278" s="25"/>
      <c r="AM278" s="25"/>
      <c r="AN278" s="25"/>
      <c r="AO278" s="25"/>
      <c r="AP278" s="25"/>
    </row>
    <row r="279" ht="15.7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24"/>
      <c r="AL279" s="25"/>
      <c r="AM279" s="25"/>
      <c r="AN279" s="25"/>
      <c r="AO279" s="25"/>
      <c r="AP279" s="25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32"/>
      <c r="AL280" s="25"/>
      <c r="AM280" s="25"/>
      <c r="AN280" s="25"/>
      <c r="AO280" s="25"/>
      <c r="AP280" s="25"/>
    </row>
    <row r="281" ht="15.7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24"/>
      <c r="AL281" s="25"/>
      <c r="AM281" s="25"/>
      <c r="AN281" s="25"/>
      <c r="AO281" s="25"/>
      <c r="AP281" s="25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32"/>
      <c r="AL282" s="25"/>
      <c r="AM282" s="25"/>
      <c r="AN282" s="25"/>
      <c r="AO282" s="25"/>
      <c r="AP282" s="25"/>
    </row>
    <row r="283" ht="15.7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24"/>
      <c r="AL283" s="25"/>
      <c r="AM283" s="25"/>
      <c r="AN283" s="25"/>
      <c r="AO283" s="25"/>
      <c r="AP283" s="25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32"/>
      <c r="AL284" s="25"/>
      <c r="AM284" s="25"/>
      <c r="AN284" s="25"/>
      <c r="AO284" s="25"/>
      <c r="AP284" s="25"/>
    </row>
    <row r="285" ht="15.7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24"/>
      <c r="AL285" s="25"/>
      <c r="AM285" s="25"/>
      <c r="AN285" s="25"/>
      <c r="AO285" s="25"/>
      <c r="AP285" s="25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32"/>
      <c r="AL286" s="25"/>
      <c r="AM286" s="25"/>
      <c r="AN286" s="25"/>
      <c r="AO286" s="25"/>
      <c r="AP286" s="25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24"/>
      <c r="AL287" s="25"/>
      <c r="AM287" s="25"/>
      <c r="AN287" s="25"/>
      <c r="AO287" s="25"/>
      <c r="AP287" s="25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32"/>
      <c r="AL288" s="25"/>
      <c r="AM288" s="25"/>
      <c r="AN288" s="25"/>
      <c r="AO288" s="25"/>
      <c r="AP288" s="25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24"/>
      <c r="AL289" s="25"/>
      <c r="AM289" s="25"/>
      <c r="AN289" s="25"/>
      <c r="AO289" s="25"/>
      <c r="AP289" s="25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32"/>
      <c r="AL290" s="25"/>
      <c r="AM290" s="25"/>
      <c r="AN290" s="25"/>
      <c r="AO290" s="25"/>
      <c r="AP290" s="25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24"/>
      <c r="AL291" s="25"/>
      <c r="AM291" s="25"/>
      <c r="AN291" s="25"/>
      <c r="AO291" s="25"/>
      <c r="AP291" s="25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32"/>
      <c r="AL292" s="25"/>
      <c r="AM292" s="25"/>
      <c r="AN292" s="25"/>
      <c r="AO292" s="25"/>
      <c r="AP292" s="25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24"/>
      <c r="AL293" s="25"/>
      <c r="AM293" s="25"/>
      <c r="AN293" s="25"/>
      <c r="AO293" s="25"/>
      <c r="AP293" s="25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32"/>
      <c r="AL294" s="25"/>
      <c r="AM294" s="25"/>
      <c r="AN294" s="25"/>
      <c r="AO294" s="25"/>
      <c r="AP294" s="25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24"/>
      <c r="AL295" s="25"/>
      <c r="AM295" s="25"/>
      <c r="AN295" s="25"/>
      <c r="AO295" s="25"/>
      <c r="AP295" s="25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32"/>
      <c r="AL296" s="25"/>
      <c r="AM296" s="25"/>
      <c r="AN296" s="25"/>
      <c r="AO296" s="25"/>
      <c r="AP296" s="25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24"/>
      <c r="AL297" s="25"/>
      <c r="AM297" s="25"/>
      <c r="AN297" s="25"/>
      <c r="AO297" s="25"/>
      <c r="AP297" s="25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32"/>
      <c r="AL298" s="25"/>
      <c r="AM298" s="25"/>
      <c r="AN298" s="25"/>
      <c r="AO298" s="25"/>
      <c r="AP298" s="25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24"/>
      <c r="AL299" s="25"/>
      <c r="AM299" s="25"/>
      <c r="AN299" s="25"/>
      <c r="AO299" s="25"/>
      <c r="AP299" s="25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32"/>
      <c r="AL300" s="25"/>
      <c r="AM300" s="25"/>
      <c r="AN300" s="25"/>
      <c r="AO300" s="25"/>
      <c r="AP300" s="25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24"/>
      <c r="AL301" s="25"/>
      <c r="AM301" s="25"/>
      <c r="AN301" s="25"/>
      <c r="AO301" s="25"/>
      <c r="AP301" s="25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32"/>
      <c r="AL302" s="25"/>
      <c r="AM302" s="25"/>
      <c r="AN302" s="25"/>
      <c r="AO302" s="25"/>
      <c r="AP302" s="25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24"/>
      <c r="AL303" s="25"/>
      <c r="AM303" s="25"/>
      <c r="AN303" s="25"/>
      <c r="AO303" s="25"/>
      <c r="AP303" s="25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32"/>
      <c r="AL304" s="25"/>
      <c r="AM304" s="25"/>
      <c r="AN304" s="25"/>
      <c r="AO304" s="25"/>
      <c r="AP304" s="25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24"/>
      <c r="AL305" s="25"/>
      <c r="AM305" s="25"/>
      <c r="AN305" s="25"/>
      <c r="AO305" s="25"/>
      <c r="AP305" s="25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32"/>
      <c r="AL306" s="25"/>
      <c r="AM306" s="25"/>
      <c r="AN306" s="25"/>
      <c r="AO306" s="25"/>
      <c r="AP306" s="25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24"/>
      <c r="AL307" s="25"/>
      <c r="AM307" s="25"/>
      <c r="AN307" s="25"/>
      <c r="AO307" s="25"/>
      <c r="AP307" s="25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32"/>
      <c r="AL308" s="25"/>
      <c r="AM308" s="25"/>
      <c r="AN308" s="25"/>
      <c r="AO308" s="25"/>
      <c r="AP308" s="25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24"/>
      <c r="AL309" s="25"/>
      <c r="AM309" s="25"/>
      <c r="AN309" s="25"/>
      <c r="AO309" s="25"/>
      <c r="AP309" s="25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32"/>
      <c r="AL310" s="25"/>
      <c r="AM310" s="25"/>
      <c r="AN310" s="25"/>
      <c r="AO310" s="25"/>
      <c r="AP310" s="25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24"/>
      <c r="AL311" s="25"/>
      <c r="AM311" s="25"/>
      <c r="AN311" s="25"/>
      <c r="AO311" s="25"/>
      <c r="AP311" s="25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32"/>
      <c r="AL312" s="25"/>
      <c r="AM312" s="25"/>
      <c r="AN312" s="25"/>
      <c r="AO312" s="25"/>
      <c r="AP312" s="25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24"/>
      <c r="AL313" s="25"/>
      <c r="AM313" s="25"/>
      <c r="AN313" s="25"/>
      <c r="AO313" s="25"/>
      <c r="AP313" s="25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32"/>
      <c r="AL314" s="25"/>
      <c r="AM314" s="25"/>
      <c r="AN314" s="25"/>
      <c r="AO314" s="25"/>
      <c r="AP314" s="25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24"/>
      <c r="AL315" s="25"/>
      <c r="AM315" s="25"/>
      <c r="AN315" s="25"/>
      <c r="AO315" s="25"/>
      <c r="AP315" s="25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32"/>
      <c r="AL316" s="25"/>
      <c r="AM316" s="25"/>
      <c r="AN316" s="25"/>
      <c r="AO316" s="25"/>
      <c r="AP316" s="25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24"/>
      <c r="AL317" s="25"/>
      <c r="AM317" s="25"/>
      <c r="AN317" s="25"/>
      <c r="AO317" s="25"/>
      <c r="AP317" s="25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32"/>
      <c r="AL318" s="25"/>
      <c r="AM318" s="25"/>
      <c r="AN318" s="25"/>
      <c r="AO318" s="25"/>
      <c r="AP318" s="25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24"/>
      <c r="AL319" s="25"/>
      <c r="AM319" s="25"/>
      <c r="AN319" s="25"/>
      <c r="AO319" s="25"/>
      <c r="AP319" s="25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32"/>
      <c r="AL320" s="25"/>
      <c r="AM320" s="25"/>
      <c r="AN320" s="25"/>
      <c r="AO320" s="25"/>
      <c r="AP320" s="25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24"/>
      <c r="AL321" s="25"/>
      <c r="AM321" s="25"/>
      <c r="AN321" s="25"/>
      <c r="AO321" s="25"/>
      <c r="AP321" s="25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32"/>
      <c r="AL322" s="25"/>
      <c r="AM322" s="25"/>
      <c r="AN322" s="25"/>
      <c r="AO322" s="25"/>
      <c r="AP322" s="25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24"/>
      <c r="AL323" s="25"/>
      <c r="AM323" s="25"/>
      <c r="AN323" s="25"/>
      <c r="AO323" s="25"/>
      <c r="AP323" s="25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32"/>
      <c r="AL324" s="25"/>
      <c r="AM324" s="25"/>
      <c r="AN324" s="25"/>
      <c r="AO324" s="25"/>
      <c r="AP324" s="25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24"/>
      <c r="AL325" s="25"/>
      <c r="AM325" s="25"/>
      <c r="AN325" s="25"/>
      <c r="AO325" s="25"/>
      <c r="AP325" s="25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32"/>
      <c r="AL326" s="25"/>
      <c r="AM326" s="25"/>
      <c r="AN326" s="25"/>
      <c r="AO326" s="25"/>
      <c r="AP326" s="25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24"/>
      <c r="AL327" s="25"/>
      <c r="AM327" s="25"/>
      <c r="AN327" s="25"/>
      <c r="AO327" s="25"/>
      <c r="AP327" s="25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32"/>
      <c r="AL328" s="25"/>
      <c r="AM328" s="25"/>
      <c r="AN328" s="25"/>
      <c r="AO328" s="25"/>
      <c r="AP328" s="25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24"/>
      <c r="AL329" s="25"/>
      <c r="AM329" s="25"/>
      <c r="AN329" s="25"/>
      <c r="AO329" s="25"/>
      <c r="AP329" s="25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32"/>
      <c r="AL330" s="25"/>
      <c r="AM330" s="25"/>
      <c r="AN330" s="25"/>
      <c r="AO330" s="25"/>
      <c r="AP330" s="25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24"/>
      <c r="AL331" s="25"/>
      <c r="AM331" s="25"/>
      <c r="AN331" s="25"/>
      <c r="AO331" s="25"/>
      <c r="AP331" s="25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32"/>
      <c r="AL332" s="25"/>
      <c r="AM332" s="25"/>
      <c r="AN332" s="25"/>
      <c r="AO332" s="25"/>
      <c r="AP332" s="25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24"/>
      <c r="AL333" s="25"/>
      <c r="AM333" s="25"/>
      <c r="AN333" s="25"/>
      <c r="AO333" s="25"/>
      <c r="AP333" s="25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32"/>
      <c r="AL334" s="25"/>
      <c r="AM334" s="25"/>
      <c r="AN334" s="25"/>
      <c r="AO334" s="25"/>
      <c r="AP334" s="25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24"/>
      <c r="AL335" s="25"/>
      <c r="AM335" s="25"/>
      <c r="AN335" s="25"/>
      <c r="AO335" s="25"/>
      <c r="AP335" s="25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32"/>
      <c r="AL336" s="25"/>
      <c r="AM336" s="25"/>
      <c r="AN336" s="25"/>
      <c r="AO336" s="25"/>
      <c r="AP336" s="25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24"/>
      <c r="AL337" s="25"/>
      <c r="AM337" s="25"/>
      <c r="AN337" s="25"/>
      <c r="AO337" s="25"/>
      <c r="AP337" s="25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32"/>
      <c r="AL338" s="25"/>
      <c r="AM338" s="25"/>
      <c r="AN338" s="25"/>
      <c r="AO338" s="25"/>
      <c r="AP338" s="25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24"/>
      <c r="AL339" s="25"/>
      <c r="AM339" s="25"/>
      <c r="AN339" s="25"/>
      <c r="AO339" s="25"/>
      <c r="AP339" s="25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32"/>
      <c r="AL340" s="25"/>
      <c r="AM340" s="25"/>
      <c r="AN340" s="25"/>
      <c r="AO340" s="25"/>
      <c r="AP340" s="25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24"/>
      <c r="AL341" s="25"/>
      <c r="AM341" s="25"/>
      <c r="AN341" s="25"/>
      <c r="AO341" s="25"/>
      <c r="AP341" s="25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32"/>
      <c r="AL342" s="25"/>
      <c r="AM342" s="25"/>
      <c r="AN342" s="25"/>
      <c r="AO342" s="25"/>
      <c r="AP342" s="25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24"/>
      <c r="AL343" s="25"/>
      <c r="AM343" s="25"/>
      <c r="AN343" s="25"/>
      <c r="AO343" s="25"/>
      <c r="AP343" s="25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32"/>
      <c r="AL344" s="25"/>
      <c r="AM344" s="25"/>
      <c r="AN344" s="25"/>
      <c r="AO344" s="25"/>
      <c r="AP344" s="25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24"/>
      <c r="AL345" s="25"/>
      <c r="AM345" s="25"/>
      <c r="AN345" s="25"/>
      <c r="AO345" s="25"/>
      <c r="AP345" s="25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32"/>
      <c r="AL346" s="25"/>
      <c r="AM346" s="25"/>
      <c r="AN346" s="25"/>
      <c r="AO346" s="25"/>
      <c r="AP346" s="25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24"/>
      <c r="AL347" s="25"/>
      <c r="AM347" s="25"/>
      <c r="AN347" s="25"/>
      <c r="AO347" s="25"/>
      <c r="AP347" s="25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32"/>
      <c r="AL348" s="25"/>
      <c r="AM348" s="25"/>
      <c r="AN348" s="25"/>
      <c r="AO348" s="25"/>
      <c r="AP348" s="25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24"/>
      <c r="AL349" s="25"/>
      <c r="AM349" s="25"/>
      <c r="AN349" s="25"/>
      <c r="AO349" s="25"/>
      <c r="AP349" s="25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32"/>
      <c r="AL350" s="25"/>
      <c r="AM350" s="25"/>
      <c r="AN350" s="25"/>
      <c r="AO350" s="25"/>
      <c r="AP350" s="25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24"/>
      <c r="AL351" s="25"/>
      <c r="AM351" s="25"/>
      <c r="AN351" s="25"/>
      <c r="AO351" s="25"/>
      <c r="AP351" s="25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32"/>
      <c r="AL352" s="25"/>
      <c r="AM352" s="25"/>
      <c r="AN352" s="25"/>
      <c r="AO352" s="25"/>
      <c r="AP352" s="25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24"/>
      <c r="AL353" s="25"/>
      <c r="AM353" s="25"/>
      <c r="AN353" s="25"/>
      <c r="AO353" s="25"/>
      <c r="AP353" s="25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32"/>
      <c r="AL354" s="25"/>
      <c r="AM354" s="25"/>
      <c r="AN354" s="25"/>
      <c r="AO354" s="25"/>
      <c r="AP354" s="25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24"/>
      <c r="AL355" s="25"/>
      <c r="AM355" s="25"/>
      <c r="AN355" s="25"/>
      <c r="AO355" s="25"/>
      <c r="AP355" s="25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32"/>
      <c r="AL356" s="25"/>
      <c r="AM356" s="25"/>
      <c r="AN356" s="25"/>
      <c r="AO356" s="25"/>
      <c r="AP356" s="25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24"/>
      <c r="AL357" s="25"/>
      <c r="AM357" s="25"/>
      <c r="AN357" s="25"/>
      <c r="AO357" s="25"/>
      <c r="AP357" s="25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32"/>
      <c r="AL358" s="25"/>
      <c r="AM358" s="25"/>
      <c r="AN358" s="25"/>
      <c r="AO358" s="25"/>
      <c r="AP358" s="25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24"/>
      <c r="AL359" s="25"/>
      <c r="AM359" s="25"/>
      <c r="AN359" s="25"/>
      <c r="AO359" s="25"/>
      <c r="AP359" s="25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32"/>
      <c r="AL360" s="25"/>
      <c r="AM360" s="25"/>
      <c r="AN360" s="25"/>
      <c r="AO360" s="25"/>
      <c r="AP360" s="25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24"/>
      <c r="AL361" s="25"/>
      <c r="AM361" s="25"/>
      <c r="AN361" s="25"/>
      <c r="AO361" s="25"/>
      <c r="AP361" s="25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32"/>
      <c r="AL362" s="25"/>
      <c r="AM362" s="25"/>
      <c r="AN362" s="25"/>
      <c r="AO362" s="25"/>
      <c r="AP362" s="25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24"/>
      <c r="AL363" s="25"/>
      <c r="AM363" s="25"/>
      <c r="AN363" s="25"/>
      <c r="AO363" s="25"/>
      <c r="AP363" s="25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32"/>
      <c r="AL364" s="25"/>
      <c r="AM364" s="25"/>
      <c r="AN364" s="25"/>
      <c r="AO364" s="25"/>
      <c r="AP364" s="25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24"/>
      <c r="AL365" s="25"/>
      <c r="AM365" s="25"/>
      <c r="AN365" s="25"/>
      <c r="AO365" s="25"/>
      <c r="AP365" s="25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32"/>
      <c r="AL366" s="25"/>
      <c r="AM366" s="25"/>
      <c r="AN366" s="25"/>
      <c r="AO366" s="25"/>
      <c r="AP366" s="25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24"/>
      <c r="AL367" s="25"/>
      <c r="AM367" s="25"/>
      <c r="AN367" s="25"/>
      <c r="AO367" s="25"/>
      <c r="AP367" s="25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32"/>
      <c r="AL368" s="25"/>
      <c r="AM368" s="25"/>
      <c r="AN368" s="25"/>
      <c r="AO368" s="25"/>
      <c r="AP368" s="25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24"/>
      <c r="AL369" s="25"/>
      <c r="AM369" s="25"/>
      <c r="AN369" s="25"/>
      <c r="AO369" s="25"/>
      <c r="AP369" s="25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32"/>
      <c r="AL370" s="25"/>
      <c r="AM370" s="25"/>
      <c r="AN370" s="25"/>
      <c r="AO370" s="25"/>
      <c r="AP370" s="25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24"/>
      <c r="AL371" s="25"/>
      <c r="AM371" s="25"/>
      <c r="AN371" s="25"/>
      <c r="AO371" s="25"/>
      <c r="AP371" s="25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32"/>
      <c r="AL372" s="25"/>
      <c r="AM372" s="25"/>
      <c r="AN372" s="25"/>
      <c r="AO372" s="25"/>
      <c r="AP372" s="25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24"/>
      <c r="AL373" s="25"/>
      <c r="AM373" s="25"/>
      <c r="AN373" s="25"/>
      <c r="AO373" s="25"/>
      <c r="AP373" s="25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32"/>
      <c r="AL374" s="25"/>
      <c r="AM374" s="25"/>
      <c r="AN374" s="25"/>
      <c r="AO374" s="25"/>
      <c r="AP374" s="25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24"/>
      <c r="AL375" s="25"/>
      <c r="AM375" s="25"/>
      <c r="AN375" s="25"/>
      <c r="AO375" s="25"/>
      <c r="AP375" s="25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32"/>
      <c r="AL376" s="25"/>
      <c r="AM376" s="25"/>
      <c r="AN376" s="25"/>
      <c r="AO376" s="25"/>
      <c r="AP376" s="25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24"/>
      <c r="AL377" s="25"/>
      <c r="AM377" s="25"/>
      <c r="AN377" s="25"/>
      <c r="AO377" s="25"/>
      <c r="AP377" s="25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32"/>
      <c r="AL378" s="25"/>
      <c r="AM378" s="25"/>
      <c r="AN378" s="25"/>
      <c r="AO378" s="25"/>
      <c r="AP378" s="25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24"/>
      <c r="AL379" s="25"/>
      <c r="AM379" s="25"/>
      <c r="AN379" s="25"/>
      <c r="AO379" s="25"/>
      <c r="AP379" s="25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32"/>
      <c r="AL380" s="25"/>
      <c r="AM380" s="25"/>
      <c r="AN380" s="25"/>
      <c r="AO380" s="25"/>
      <c r="AP380" s="25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24"/>
      <c r="AL381" s="25"/>
      <c r="AM381" s="25"/>
      <c r="AN381" s="25"/>
      <c r="AO381" s="25"/>
      <c r="AP381" s="25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32"/>
      <c r="AL382" s="25"/>
      <c r="AM382" s="25"/>
      <c r="AN382" s="25"/>
      <c r="AO382" s="25"/>
      <c r="AP382" s="25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24"/>
      <c r="AL383" s="25"/>
      <c r="AM383" s="25"/>
      <c r="AN383" s="25"/>
      <c r="AO383" s="25"/>
      <c r="AP383" s="25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32"/>
      <c r="AL384" s="25"/>
      <c r="AM384" s="25"/>
      <c r="AN384" s="25"/>
      <c r="AO384" s="25"/>
      <c r="AP384" s="25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24"/>
      <c r="AL385" s="25"/>
      <c r="AM385" s="25"/>
      <c r="AN385" s="25"/>
      <c r="AO385" s="25"/>
      <c r="AP385" s="25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32"/>
      <c r="AL386" s="25"/>
      <c r="AM386" s="25"/>
      <c r="AN386" s="25"/>
      <c r="AO386" s="25"/>
      <c r="AP386" s="25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24"/>
      <c r="AL387" s="25"/>
      <c r="AM387" s="25"/>
      <c r="AN387" s="25"/>
      <c r="AO387" s="25"/>
      <c r="AP387" s="25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32"/>
      <c r="AL388" s="25"/>
      <c r="AM388" s="25"/>
      <c r="AN388" s="25"/>
      <c r="AO388" s="25"/>
      <c r="AP388" s="25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24"/>
      <c r="AL389" s="25"/>
      <c r="AM389" s="25"/>
      <c r="AN389" s="25"/>
      <c r="AO389" s="25"/>
      <c r="AP389" s="25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32"/>
      <c r="AL390" s="25"/>
      <c r="AM390" s="25"/>
      <c r="AN390" s="25"/>
      <c r="AO390" s="25"/>
      <c r="AP390" s="25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24"/>
      <c r="AL391" s="25"/>
      <c r="AM391" s="25"/>
      <c r="AN391" s="25"/>
      <c r="AO391" s="25"/>
      <c r="AP391" s="25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32"/>
      <c r="AL392" s="25"/>
      <c r="AM392" s="25"/>
      <c r="AN392" s="25"/>
      <c r="AO392" s="25"/>
      <c r="AP392" s="25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24"/>
      <c r="AL393" s="25"/>
      <c r="AM393" s="25"/>
      <c r="AN393" s="25"/>
      <c r="AO393" s="25"/>
      <c r="AP393" s="25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32"/>
      <c r="AL394" s="25"/>
      <c r="AM394" s="25"/>
      <c r="AN394" s="25"/>
      <c r="AO394" s="25"/>
      <c r="AP394" s="25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24"/>
      <c r="AL395" s="25"/>
      <c r="AM395" s="25"/>
      <c r="AN395" s="25"/>
      <c r="AO395" s="25"/>
      <c r="AP395" s="25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32"/>
      <c r="AL396" s="25"/>
      <c r="AM396" s="25"/>
      <c r="AN396" s="25"/>
      <c r="AO396" s="25"/>
      <c r="AP396" s="25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24"/>
      <c r="AL397" s="25"/>
      <c r="AM397" s="25"/>
      <c r="AN397" s="25"/>
      <c r="AO397" s="25"/>
      <c r="AP397" s="25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32"/>
      <c r="AL398" s="25"/>
      <c r="AM398" s="25"/>
      <c r="AN398" s="25"/>
      <c r="AO398" s="25"/>
      <c r="AP398" s="25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24"/>
      <c r="AL399" s="25"/>
      <c r="AM399" s="25"/>
      <c r="AN399" s="25"/>
      <c r="AO399" s="25"/>
      <c r="AP399" s="25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32"/>
      <c r="AL400" s="25"/>
      <c r="AM400" s="25"/>
      <c r="AN400" s="25"/>
      <c r="AO400" s="25"/>
      <c r="AP400" s="25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24"/>
      <c r="AL401" s="25"/>
      <c r="AM401" s="25"/>
      <c r="AN401" s="25"/>
      <c r="AO401" s="25"/>
      <c r="AP401" s="25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32"/>
      <c r="AL402" s="25"/>
      <c r="AM402" s="25"/>
      <c r="AN402" s="25"/>
      <c r="AO402" s="25"/>
      <c r="AP402" s="25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24"/>
      <c r="AL403" s="25"/>
      <c r="AM403" s="25"/>
      <c r="AN403" s="25"/>
      <c r="AO403" s="25"/>
      <c r="AP403" s="25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32"/>
      <c r="AL404" s="25"/>
      <c r="AM404" s="25"/>
      <c r="AN404" s="25"/>
      <c r="AO404" s="25"/>
      <c r="AP404" s="25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24"/>
      <c r="AL405" s="25"/>
      <c r="AM405" s="25"/>
      <c r="AN405" s="25"/>
      <c r="AO405" s="25"/>
      <c r="AP405" s="25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32"/>
      <c r="AL406" s="25"/>
      <c r="AM406" s="25"/>
      <c r="AN406" s="25"/>
      <c r="AO406" s="25"/>
      <c r="AP406" s="25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24"/>
      <c r="AL407" s="25"/>
      <c r="AM407" s="25"/>
      <c r="AN407" s="25"/>
      <c r="AO407" s="25"/>
      <c r="AP407" s="25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32"/>
      <c r="AL408" s="25"/>
      <c r="AM408" s="25"/>
      <c r="AN408" s="25"/>
      <c r="AO408" s="25"/>
      <c r="AP408" s="25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24"/>
      <c r="AL409" s="25"/>
      <c r="AM409" s="25"/>
      <c r="AN409" s="25"/>
      <c r="AO409" s="25"/>
      <c r="AP409" s="25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32"/>
      <c r="AL410" s="25"/>
      <c r="AM410" s="25"/>
      <c r="AN410" s="25"/>
      <c r="AO410" s="25"/>
      <c r="AP410" s="25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24"/>
      <c r="AL411" s="25"/>
      <c r="AM411" s="25"/>
      <c r="AN411" s="25"/>
      <c r="AO411" s="25"/>
      <c r="AP411" s="25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32"/>
      <c r="AL412" s="25"/>
      <c r="AM412" s="25"/>
      <c r="AN412" s="25"/>
      <c r="AO412" s="25"/>
      <c r="AP412" s="25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24"/>
      <c r="AL413" s="25"/>
      <c r="AM413" s="25"/>
      <c r="AN413" s="25"/>
      <c r="AO413" s="25"/>
      <c r="AP413" s="25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32"/>
      <c r="AL414" s="25"/>
      <c r="AM414" s="25"/>
      <c r="AN414" s="25"/>
      <c r="AO414" s="25"/>
      <c r="AP414" s="25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24"/>
      <c r="AL415" s="25"/>
      <c r="AM415" s="25"/>
      <c r="AN415" s="25"/>
      <c r="AO415" s="25"/>
      <c r="AP415" s="25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32"/>
      <c r="AL416" s="25"/>
      <c r="AM416" s="25"/>
      <c r="AN416" s="25"/>
      <c r="AO416" s="25"/>
      <c r="AP416" s="25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24"/>
      <c r="AL417" s="25"/>
      <c r="AM417" s="25"/>
      <c r="AN417" s="25"/>
      <c r="AO417" s="25"/>
      <c r="AP417" s="25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32"/>
      <c r="AL418" s="25"/>
      <c r="AM418" s="25"/>
      <c r="AN418" s="25"/>
      <c r="AO418" s="25"/>
      <c r="AP418" s="25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24"/>
      <c r="AL419" s="25"/>
      <c r="AM419" s="25"/>
      <c r="AN419" s="25"/>
      <c r="AO419" s="25"/>
      <c r="AP419" s="25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32"/>
      <c r="AL420" s="25"/>
      <c r="AM420" s="25"/>
      <c r="AN420" s="25"/>
      <c r="AO420" s="25"/>
      <c r="AP420" s="25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24"/>
      <c r="AL421" s="25"/>
      <c r="AM421" s="25"/>
      <c r="AN421" s="25"/>
      <c r="AO421" s="25"/>
      <c r="AP421" s="25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32"/>
      <c r="AL422" s="25"/>
      <c r="AM422" s="25"/>
      <c r="AN422" s="25"/>
      <c r="AO422" s="25"/>
      <c r="AP422" s="25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24"/>
      <c r="AL423" s="25"/>
      <c r="AM423" s="25"/>
      <c r="AN423" s="25"/>
      <c r="AO423" s="25"/>
      <c r="AP423" s="25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32"/>
      <c r="AL424" s="25"/>
      <c r="AM424" s="25"/>
      <c r="AN424" s="25"/>
      <c r="AO424" s="25"/>
      <c r="AP424" s="25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24"/>
      <c r="AL425" s="25"/>
      <c r="AM425" s="25"/>
      <c r="AN425" s="25"/>
      <c r="AO425" s="25"/>
      <c r="AP425" s="25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32"/>
      <c r="AL426" s="25"/>
      <c r="AM426" s="25"/>
      <c r="AN426" s="25"/>
      <c r="AO426" s="25"/>
      <c r="AP426" s="25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24"/>
      <c r="AL427" s="25"/>
      <c r="AM427" s="25"/>
      <c r="AN427" s="25"/>
      <c r="AO427" s="25"/>
      <c r="AP427" s="25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32"/>
      <c r="AL428" s="25"/>
      <c r="AM428" s="25"/>
      <c r="AN428" s="25"/>
      <c r="AO428" s="25"/>
      <c r="AP428" s="25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24"/>
      <c r="AL429" s="25"/>
      <c r="AM429" s="25"/>
      <c r="AN429" s="25"/>
      <c r="AO429" s="25"/>
      <c r="AP429" s="25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32"/>
      <c r="AL430" s="25"/>
      <c r="AM430" s="25"/>
      <c r="AN430" s="25"/>
      <c r="AO430" s="25"/>
      <c r="AP430" s="25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24"/>
      <c r="AL431" s="25"/>
      <c r="AM431" s="25"/>
      <c r="AN431" s="25"/>
      <c r="AO431" s="25"/>
      <c r="AP431" s="25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32"/>
      <c r="AL432" s="25"/>
      <c r="AM432" s="25"/>
      <c r="AN432" s="25"/>
      <c r="AO432" s="25"/>
      <c r="AP432" s="25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24"/>
      <c r="AL433" s="25"/>
      <c r="AM433" s="25"/>
      <c r="AN433" s="25"/>
      <c r="AO433" s="25"/>
      <c r="AP433" s="25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32"/>
      <c r="AL434" s="25"/>
      <c r="AM434" s="25"/>
      <c r="AN434" s="25"/>
      <c r="AO434" s="25"/>
      <c r="AP434" s="25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24"/>
      <c r="AL435" s="25"/>
      <c r="AM435" s="25"/>
      <c r="AN435" s="25"/>
      <c r="AO435" s="25"/>
      <c r="AP435" s="25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32"/>
      <c r="AL436" s="25"/>
      <c r="AM436" s="25"/>
      <c r="AN436" s="25"/>
      <c r="AO436" s="25"/>
      <c r="AP436" s="25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24"/>
      <c r="AL437" s="25"/>
      <c r="AM437" s="25"/>
      <c r="AN437" s="25"/>
      <c r="AO437" s="25"/>
      <c r="AP437" s="25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32"/>
      <c r="AL438" s="25"/>
      <c r="AM438" s="25"/>
      <c r="AN438" s="25"/>
      <c r="AO438" s="25"/>
      <c r="AP438" s="25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24"/>
      <c r="AL439" s="25"/>
      <c r="AM439" s="25"/>
      <c r="AN439" s="25"/>
      <c r="AO439" s="25"/>
      <c r="AP439" s="25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32"/>
      <c r="AL440" s="25"/>
      <c r="AM440" s="25"/>
      <c r="AN440" s="25"/>
      <c r="AO440" s="25"/>
      <c r="AP440" s="25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24"/>
      <c r="AL441" s="25"/>
      <c r="AM441" s="25"/>
      <c r="AN441" s="25"/>
      <c r="AO441" s="25"/>
      <c r="AP441" s="25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32"/>
      <c r="AL442" s="25"/>
      <c r="AM442" s="25"/>
      <c r="AN442" s="25"/>
      <c r="AO442" s="25"/>
      <c r="AP442" s="25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24"/>
      <c r="AL443" s="25"/>
      <c r="AM443" s="25"/>
      <c r="AN443" s="25"/>
      <c r="AO443" s="25"/>
      <c r="AP443" s="25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32"/>
      <c r="AL444" s="25"/>
      <c r="AM444" s="25"/>
      <c r="AN444" s="25"/>
      <c r="AO444" s="25"/>
      <c r="AP444" s="25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24"/>
      <c r="AL445" s="25"/>
      <c r="AM445" s="25"/>
      <c r="AN445" s="25"/>
      <c r="AO445" s="25"/>
      <c r="AP445" s="25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32"/>
      <c r="AL446" s="25"/>
      <c r="AM446" s="25"/>
      <c r="AN446" s="25"/>
      <c r="AO446" s="25"/>
      <c r="AP446" s="25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24"/>
      <c r="AL447" s="25"/>
      <c r="AM447" s="25"/>
      <c r="AN447" s="25"/>
      <c r="AO447" s="25"/>
      <c r="AP447" s="25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32"/>
      <c r="AL448" s="25"/>
      <c r="AM448" s="25"/>
      <c r="AN448" s="25"/>
      <c r="AO448" s="25"/>
      <c r="AP448" s="25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24"/>
      <c r="AL449" s="25"/>
      <c r="AM449" s="25"/>
      <c r="AN449" s="25"/>
      <c r="AO449" s="25"/>
      <c r="AP449" s="25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32"/>
      <c r="AL450" s="25"/>
      <c r="AM450" s="25"/>
      <c r="AN450" s="25"/>
      <c r="AO450" s="25"/>
      <c r="AP450" s="25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24"/>
      <c r="AL451" s="25"/>
      <c r="AM451" s="25"/>
      <c r="AN451" s="25"/>
      <c r="AO451" s="25"/>
      <c r="AP451" s="25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32"/>
      <c r="AL452" s="25"/>
      <c r="AM452" s="25"/>
      <c r="AN452" s="25"/>
      <c r="AO452" s="25"/>
      <c r="AP452" s="25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24"/>
      <c r="AL453" s="25"/>
      <c r="AM453" s="25"/>
      <c r="AN453" s="25"/>
      <c r="AO453" s="25"/>
      <c r="AP453" s="25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32"/>
      <c r="AL454" s="25"/>
      <c r="AM454" s="25"/>
      <c r="AN454" s="25"/>
      <c r="AO454" s="25"/>
      <c r="AP454" s="25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24"/>
      <c r="AL455" s="25"/>
      <c r="AM455" s="25"/>
      <c r="AN455" s="25"/>
      <c r="AO455" s="25"/>
      <c r="AP455" s="25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32"/>
      <c r="AL456" s="25"/>
      <c r="AM456" s="25"/>
      <c r="AN456" s="25"/>
      <c r="AO456" s="25"/>
      <c r="AP456" s="25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24"/>
      <c r="AL457" s="25"/>
      <c r="AM457" s="25"/>
      <c r="AN457" s="25"/>
      <c r="AO457" s="25"/>
      <c r="AP457" s="25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32"/>
      <c r="AL458" s="25"/>
      <c r="AM458" s="25"/>
      <c r="AN458" s="25"/>
      <c r="AO458" s="25"/>
      <c r="AP458" s="25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24"/>
      <c r="AL459" s="25"/>
      <c r="AM459" s="25"/>
      <c r="AN459" s="25"/>
      <c r="AO459" s="25"/>
      <c r="AP459" s="25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32"/>
      <c r="AL460" s="25"/>
      <c r="AM460" s="25"/>
      <c r="AN460" s="25"/>
      <c r="AO460" s="25"/>
      <c r="AP460" s="25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24"/>
      <c r="AL461" s="25"/>
      <c r="AM461" s="25"/>
      <c r="AN461" s="25"/>
      <c r="AO461" s="25"/>
      <c r="AP461" s="25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32"/>
      <c r="AL462" s="25"/>
      <c r="AM462" s="25"/>
      <c r="AN462" s="25"/>
      <c r="AO462" s="25"/>
      <c r="AP462" s="25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24"/>
      <c r="AL463" s="25"/>
      <c r="AM463" s="25"/>
      <c r="AN463" s="25"/>
      <c r="AO463" s="25"/>
      <c r="AP463" s="25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32"/>
      <c r="AL464" s="25"/>
      <c r="AM464" s="25"/>
      <c r="AN464" s="25"/>
      <c r="AO464" s="25"/>
      <c r="AP464" s="25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24"/>
      <c r="AL465" s="25"/>
      <c r="AM465" s="25"/>
      <c r="AN465" s="25"/>
      <c r="AO465" s="25"/>
      <c r="AP465" s="25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32"/>
      <c r="AL466" s="25"/>
      <c r="AM466" s="25"/>
      <c r="AN466" s="25"/>
      <c r="AO466" s="25"/>
      <c r="AP466" s="25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24"/>
      <c r="AL467" s="25"/>
      <c r="AM467" s="25"/>
      <c r="AN467" s="25"/>
      <c r="AO467" s="25"/>
      <c r="AP467" s="25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32"/>
      <c r="AL468" s="25"/>
      <c r="AM468" s="25"/>
      <c r="AN468" s="25"/>
      <c r="AO468" s="25"/>
      <c r="AP468" s="25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24"/>
      <c r="AL469" s="25"/>
      <c r="AM469" s="25"/>
      <c r="AN469" s="25"/>
      <c r="AO469" s="25"/>
      <c r="AP469" s="25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32"/>
      <c r="AL470" s="25"/>
      <c r="AM470" s="25"/>
      <c r="AN470" s="25"/>
      <c r="AO470" s="25"/>
      <c r="AP470" s="25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24"/>
      <c r="AL471" s="25"/>
      <c r="AM471" s="25"/>
      <c r="AN471" s="25"/>
      <c r="AO471" s="25"/>
      <c r="AP471" s="25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32"/>
      <c r="AL472" s="25"/>
      <c r="AM472" s="25"/>
      <c r="AN472" s="25"/>
      <c r="AO472" s="25"/>
      <c r="AP472" s="25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24"/>
      <c r="AL473" s="25"/>
      <c r="AM473" s="25"/>
      <c r="AN473" s="25"/>
      <c r="AO473" s="25"/>
      <c r="AP473" s="25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32"/>
      <c r="AL474" s="25"/>
      <c r="AM474" s="25"/>
      <c r="AN474" s="25"/>
      <c r="AO474" s="25"/>
      <c r="AP474" s="25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24"/>
      <c r="AL475" s="25"/>
      <c r="AM475" s="25"/>
      <c r="AN475" s="25"/>
      <c r="AO475" s="25"/>
      <c r="AP475" s="25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32"/>
      <c r="AL476" s="25"/>
      <c r="AM476" s="25"/>
      <c r="AN476" s="25"/>
      <c r="AO476" s="25"/>
      <c r="AP476" s="25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24"/>
      <c r="AL477" s="25"/>
      <c r="AM477" s="25"/>
      <c r="AN477" s="25"/>
      <c r="AO477" s="25"/>
      <c r="AP477" s="25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32"/>
      <c r="AL478" s="25"/>
      <c r="AM478" s="25"/>
      <c r="AN478" s="25"/>
      <c r="AO478" s="25"/>
      <c r="AP478" s="25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24"/>
      <c r="AL479" s="25"/>
      <c r="AM479" s="25"/>
      <c r="AN479" s="25"/>
      <c r="AO479" s="25"/>
      <c r="AP479" s="25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32"/>
      <c r="AL480" s="25"/>
      <c r="AM480" s="25"/>
      <c r="AN480" s="25"/>
      <c r="AO480" s="25"/>
      <c r="AP480" s="25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24"/>
      <c r="AL481" s="25"/>
      <c r="AM481" s="25"/>
      <c r="AN481" s="25"/>
      <c r="AO481" s="25"/>
      <c r="AP481" s="25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32"/>
      <c r="AL482" s="25"/>
      <c r="AM482" s="25"/>
      <c r="AN482" s="25"/>
      <c r="AO482" s="25"/>
      <c r="AP482" s="25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24"/>
      <c r="AL483" s="25"/>
      <c r="AM483" s="25"/>
      <c r="AN483" s="25"/>
      <c r="AO483" s="25"/>
      <c r="AP483" s="25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32"/>
      <c r="AL484" s="25"/>
      <c r="AM484" s="25"/>
      <c r="AN484" s="25"/>
      <c r="AO484" s="25"/>
      <c r="AP484" s="25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24"/>
      <c r="AL485" s="25"/>
      <c r="AM485" s="25"/>
      <c r="AN485" s="25"/>
      <c r="AO485" s="25"/>
      <c r="AP485" s="25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32"/>
      <c r="AL486" s="25"/>
      <c r="AM486" s="25"/>
      <c r="AN486" s="25"/>
      <c r="AO486" s="25"/>
      <c r="AP486" s="25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24"/>
      <c r="AL487" s="25"/>
      <c r="AM487" s="25"/>
      <c r="AN487" s="25"/>
      <c r="AO487" s="25"/>
      <c r="AP487" s="25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32"/>
      <c r="AL488" s="25"/>
      <c r="AM488" s="25"/>
      <c r="AN488" s="25"/>
      <c r="AO488" s="25"/>
      <c r="AP488" s="25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24"/>
      <c r="AL489" s="25"/>
      <c r="AM489" s="25"/>
      <c r="AN489" s="25"/>
      <c r="AO489" s="25"/>
      <c r="AP489" s="25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32"/>
      <c r="AL490" s="25"/>
      <c r="AM490" s="25"/>
      <c r="AN490" s="25"/>
      <c r="AO490" s="25"/>
      <c r="AP490" s="25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24"/>
      <c r="AL491" s="25"/>
      <c r="AM491" s="25"/>
      <c r="AN491" s="25"/>
      <c r="AO491" s="25"/>
      <c r="AP491" s="25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32"/>
      <c r="AL492" s="25"/>
      <c r="AM492" s="25"/>
      <c r="AN492" s="25"/>
      <c r="AO492" s="25"/>
      <c r="AP492" s="25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24"/>
      <c r="AL493" s="25"/>
      <c r="AM493" s="25"/>
      <c r="AN493" s="25"/>
      <c r="AO493" s="25"/>
      <c r="AP493" s="25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32"/>
      <c r="AL494" s="25"/>
      <c r="AM494" s="25"/>
      <c r="AN494" s="25"/>
      <c r="AO494" s="25"/>
      <c r="AP494" s="25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24"/>
      <c r="AL495" s="25"/>
      <c r="AM495" s="25"/>
      <c r="AN495" s="25"/>
      <c r="AO495" s="25"/>
      <c r="AP495" s="25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32"/>
      <c r="AL496" s="25"/>
      <c r="AM496" s="25"/>
      <c r="AN496" s="25"/>
      <c r="AO496" s="25"/>
      <c r="AP496" s="25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24"/>
      <c r="AL497" s="25"/>
      <c r="AM497" s="25"/>
      <c r="AN497" s="25"/>
      <c r="AO497" s="25"/>
      <c r="AP497" s="25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32"/>
      <c r="AL498" s="25"/>
      <c r="AM498" s="25"/>
      <c r="AN498" s="25"/>
      <c r="AO498" s="25"/>
      <c r="AP498" s="25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24"/>
      <c r="AL499" s="25"/>
      <c r="AM499" s="25"/>
      <c r="AN499" s="25"/>
      <c r="AO499" s="25"/>
      <c r="AP499" s="25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32"/>
      <c r="AL500" s="25"/>
      <c r="AM500" s="25"/>
      <c r="AN500" s="25"/>
      <c r="AO500" s="25"/>
      <c r="AP500" s="25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24"/>
      <c r="AL501" s="25"/>
      <c r="AM501" s="25"/>
      <c r="AN501" s="25"/>
      <c r="AO501" s="25"/>
      <c r="AP501" s="25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32"/>
      <c r="AL502" s="25"/>
      <c r="AM502" s="25"/>
      <c r="AN502" s="25"/>
      <c r="AO502" s="25"/>
      <c r="AP502" s="25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24"/>
      <c r="AL503" s="25"/>
      <c r="AM503" s="25"/>
      <c r="AN503" s="25"/>
      <c r="AO503" s="25"/>
      <c r="AP503" s="25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32"/>
      <c r="AL504" s="25"/>
      <c r="AM504" s="25"/>
      <c r="AN504" s="25"/>
      <c r="AO504" s="25"/>
      <c r="AP504" s="25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24"/>
      <c r="AL505" s="25"/>
      <c r="AM505" s="25"/>
      <c r="AN505" s="25"/>
      <c r="AO505" s="25"/>
      <c r="AP505" s="25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32"/>
      <c r="AL506" s="25"/>
      <c r="AM506" s="25"/>
      <c r="AN506" s="25"/>
      <c r="AO506" s="25"/>
      <c r="AP506" s="25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24"/>
      <c r="AL507" s="25"/>
      <c r="AM507" s="25"/>
      <c r="AN507" s="25"/>
      <c r="AO507" s="25"/>
      <c r="AP507" s="25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32"/>
      <c r="AL508" s="25"/>
      <c r="AM508" s="25"/>
      <c r="AN508" s="25"/>
      <c r="AO508" s="25"/>
      <c r="AP508" s="25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24"/>
      <c r="AL509" s="25"/>
      <c r="AM509" s="25"/>
      <c r="AN509" s="25"/>
      <c r="AO509" s="25"/>
      <c r="AP509" s="25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32"/>
      <c r="AL510" s="25"/>
      <c r="AM510" s="25"/>
      <c r="AN510" s="25"/>
      <c r="AO510" s="25"/>
      <c r="AP510" s="25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24"/>
      <c r="AL511" s="25"/>
      <c r="AM511" s="25"/>
      <c r="AN511" s="25"/>
      <c r="AO511" s="25"/>
      <c r="AP511" s="25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32"/>
      <c r="AL512" s="25"/>
      <c r="AM512" s="25"/>
      <c r="AN512" s="25"/>
      <c r="AO512" s="25"/>
      <c r="AP512" s="25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24"/>
      <c r="AL513" s="25"/>
      <c r="AM513" s="25"/>
      <c r="AN513" s="25"/>
      <c r="AO513" s="25"/>
      <c r="AP513" s="25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32"/>
      <c r="AL514" s="25"/>
      <c r="AM514" s="25"/>
      <c r="AN514" s="25"/>
      <c r="AO514" s="25"/>
      <c r="AP514" s="25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24"/>
      <c r="AL515" s="25"/>
      <c r="AM515" s="25"/>
      <c r="AN515" s="25"/>
      <c r="AO515" s="25"/>
      <c r="AP515" s="25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32"/>
      <c r="AL516" s="25"/>
      <c r="AM516" s="25"/>
      <c r="AN516" s="25"/>
      <c r="AO516" s="25"/>
      <c r="AP516" s="25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24"/>
      <c r="AL517" s="25"/>
      <c r="AM517" s="25"/>
      <c r="AN517" s="25"/>
      <c r="AO517" s="25"/>
      <c r="AP517" s="25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32"/>
      <c r="AL518" s="25"/>
      <c r="AM518" s="25"/>
      <c r="AN518" s="25"/>
      <c r="AO518" s="25"/>
      <c r="AP518" s="25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24"/>
      <c r="AL519" s="25"/>
      <c r="AM519" s="25"/>
      <c r="AN519" s="25"/>
      <c r="AO519" s="25"/>
      <c r="AP519" s="25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32"/>
      <c r="AL520" s="25"/>
      <c r="AM520" s="25"/>
      <c r="AN520" s="25"/>
      <c r="AO520" s="25"/>
      <c r="AP520" s="25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24"/>
      <c r="AL521" s="25"/>
      <c r="AM521" s="25"/>
      <c r="AN521" s="25"/>
      <c r="AO521" s="25"/>
      <c r="AP521" s="25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32"/>
      <c r="AL522" s="25"/>
      <c r="AM522" s="25"/>
      <c r="AN522" s="25"/>
      <c r="AO522" s="25"/>
      <c r="AP522" s="25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24"/>
      <c r="AL523" s="25"/>
      <c r="AM523" s="25"/>
      <c r="AN523" s="25"/>
      <c r="AO523" s="25"/>
      <c r="AP523" s="25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32"/>
      <c r="AL524" s="25"/>
      <c r="AM524" s="25"/>
      <c r="AN524" s="25"/>
      <c r="AO524" s="25"/>
      <c r="AP524" s="25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24"/>
      <c r="AL525" s="25"/>
      <c r="AM525" s="25"/>
      <c r="AN525" s="25"/>
      <c r="AO525" s="25"/>
      <c r="AP525" s="25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32"/>
      <c r="AL526" s="25"/>
      <c r="AM526" s="25"/>
      <c r="AN526" s="25"/>
      <c r="AO526" s="25"/>
      <c r="AP526" s="25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24"/>
      <c r="AL527" s="25"/>
      <c r="AM527" s="25"/>
      <c r="AN527" s="25"/>
      <c r="AO527" s="25"/>
      <c r="AP527" s="25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32"/>
      <c r="AL528" s="25"/>
      <c r="AM528" s="25"/>
      <c r="AN528" s="25"/>
      <c r="AO528" s="25"/>
      <c r="AP528" s="25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24"/>
      <c r="AL529" s="25"/>
      <c r="AM529" s="25"/>
      <c r="AN529" s="25"/>
      <c r="AO529" s="25"/>
      <c r="AP529" s="25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32"/>
      <c r="AL530" s="25"/>
      <c r="AM530" s="25"/>
      <c r="AN530" s="25"/>
      <c r="AO530" s="25"/>
      <c r="AP530" s="25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24"/>
      <c r="AL531" s="25"/>
      <c r="AM531" s="25"/>
      <c r="AN531" s="25"/>
      <c r="AO531" s="25"/>
      <c r="AP531" s="25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32"/>
      <c r="AL532" s="25"/>
      <c r="AM532" s="25"/>
      <c r="AN532" s="25"/>
      <c r="AO532" s="25"/>
      <c r="AP532" s="25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24"/>
      <c r="AL533" s="25"/>
      <c r="AM533" s="25"/>
      <c r="AN533" s="25"/>
      <c r="AO533" s="25"/>
      <c r="AP533" s="25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32"/>
      <c r="AL534" s="25"/>
      <c r="AM534" s="25"/>
      <c r="AN534" s="25"/>
      <c r="AO534" s="25"/>
      <c r="AP534" s="25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24"/>
      <c r="AL535" s="25"/>
      <c r="AM535" s="25"/>
      <c r="AN535" s="25"/>
      <c r="AO535" s="25"/>
      <c r="AP535" s="25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32"/>
      <c r="AL536" s="25"/>
      <c r="AM536" s="25"/>
      <c r="AN536" s="25"/>
      <c r="AO536" s="25"/>
      <c r="AP536" s="25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24"/>
      <c r="AL537" s="25"/>
      <c r="AM537" s="25"/>
      <c r="AN537" s="25"/>
      <c r="AO537" s="25"/>
      <c r="AP537" s="25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32"/>
      <c r="AL538" s="25"/>
      <c r="AM538" s="25"/>
      <c r="AN538" s="25"/>
      <c r="AO538" s="25"/>
      <c r="AP538" s="25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24"/>
      <c r="AL539" s="25"/>
      <c r="AM539" s="25"/>
      <c r="AN539" s="25"/>
      <c r="AO539" s="25"/>
      <c r="AP539" s="25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32"/>
      <c r="AL540" s="25"/>
      <c r="AM540" s="25"/>
      <c r="AN540" s="25"/>
      <c r="AO540" s="25"/>
      <c r="AP540" s="25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24"/>
      <c r="AL541" s="25"/>
      <c r="AM541" s="25"/>
      <c r="AN541" s="25"/>
      <c r="AO541" s="25"/>
      <c r="AP541" s="25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32"/>
      <c r="AL542" s="25"/>
      <c r="AM542" s="25"/>
      <c r="AN542" s="25"/>
      <c r="AO542" s="25"/>
      <c r="AP542" s="25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24"/>
      <c r="AL543" s="25"/>
      <c r="AM543" s="25"/>
      <c r="AN543" s="25"/>
      <c r="AO543" s="25"/>
      <c r="AP543" s="25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32"/>
      <c r="AL544" s="25"/>
      <c r="AM544" s="25"/>
      <c r="AN544" s="25"/>
      <c r="AO544" s="25"/>
      <c r="AP544" s="25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24"/>
      <c r="AL545" s="25"/>
      <c r="AM545" s="25"/>
      <c r="AN545" s="25"/>
      <c r="AO545" s="25"/>
      <c r="AP545" s="25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32"/>
      <c r="AL546" s="25"/>
      <c r="AM546" s="25"/>
      <c r="AN546" s="25"/>
      <c r="AO546" s="25"/>
      <c r="AP546" s="25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24"/>
      <c r="AL547" s="25"/>
      <c r="AM547" s="25"/>
      <c r="AN547" s="25"/>
      <c r="AO547" s="25"/>
      <c r="AP547" s="25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32"/>
      <c r="AL548" s="25"/>
      <c r="AM548" s="25"/>
      <c r="AN548" s="25"/>
      <c r="AO548" s="25"/>
      <c r="AP548" s="25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24"/>
      <c r="AL549" s="25"/>
      <c r="AM549" s="25"/>
      <c r="AN549" s="25"/>
      <c r="AO549" s="25"/>
      <c r="AP549" s="25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32"/>
      <c r="AL550" s="25"/>
      <c r="AM550" s="25"/>
      <c r="AN550" s="25"/>
      <c r="AO550" s="25"/>
      <c r="AP550" s="25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24"/>
      <c r="AL551" s="25"/>
      <c r="AM551" s="25"/>
      <c r="AN551" s="25"/>
      <c r="AO551" s="25"/>
      <c r="AP551" s="25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32"/>
      <c r="AL552" s="25"/>
      <c r="AM552" s="25"/>
      <c r="AN552" s="25"/>
      <c r="AO552" s="25"/>
      <c r="AP552" s="25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24"/>
      <c r="AL553" s="25"/>
      <c r="AM553" s="25"/>
      <c r="AN553" s="25"/>
      <c r="AO553" s="25"/>
      <c r="AP553" s="25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32"/>
      <c r="AL554" s="25"/>
      <c r="AM554" s="25"/>
      <c r="AN554" s="25"/>
      <c r="AO554" s="25"/>
      <c r="AP554" s="25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24"/>
      <c r="AL555" s="25"/>
      <c r="AM555" s="25"/>
      <c r="AN555" s="25"/>
      <c r="AO555" s="25"/>
      <c r="AP555" s="25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32"/>
      <c r="AL556" s="25"/>
      <c r="AM556" s="25"/>
      <c r="AN556" s="25"/>
      <c r="AO556" s="25"/>
      <c r="AP556" s="25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24"/>
      <c r="AL557" s="25"/>
      <c r="AM557" s="25"/>
      <c r="AN557" s="25"/>
      <c r="AO557" s="25"/>
      <c r="AP557" s="25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32"/>
      <c r="AL558" s="25"/>
      <c r="AM558" s="25"/>
      <c r="AN558" s="25"/>
      <c r="AO558" s="25"/>
      <c r="AP558" s="25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24"/>
      <c r="AL559" s="25"/>
      <c r="AM559" s="25"/>
      <c r="AN559" s="25"/>
      <c r="AO559" s="25"/>
      <c r="AP559" s="25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32"/>
      <c r="AL560" s="25"/>
      <c r="AM560" s="25"/>
      <c r="AN560" s="25"/>
      <c r="AO560" s="25"/>
      <c r="AP560" s="25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24"/>
      <c r="AL561" s="25"/>
      <c r="AM561" s="25"/>
      <c r="AN561" s="25"/>
      <c r="AO561" s="25"/>
      <c r="AP561" s="25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32"/>
      <c r="AL562" s="25"/>
      <c r="AM562" s="25"/>
      <c r="AN562" s="25"/>
      <c r="AO562" s="25"/>
      <c r="AP562" s="25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24"/>
      <c r="AL563" s="25"/>
      <c r="AM563" s="25"/>
      <c r="AN563" s="25"/>
      <c r="AO563" s="25"/>
      <c r="AP563" s="25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32"/>
      <c r="AL564" s="25"/>
      <c r="AM564" s="25"/>
      <c r="AN564" s="25"/>
      <c r="AO564" s="25"/>
      <c r="AP564" s="25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24"/>
      <c r="AL565" s="25"/>
      <c r="AM565" s="25"/>
      <c r="AN565" s="25"/>
      <c r="AO565" s="25"/>
      <c r="AP565" s="25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32"/>
      <c r="AL566" s="25"/>
      <c r="AM566" s="25"/>
      <c r="AN566" s="25"/>
      <c r="AO566" s="25"/>
      <c r="AP566" s="25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24"/>
      <c r="AL567" s="25"/>
      <c r="AM567" s="25"/>
      <c r="AN567" s="25"/>
      <c r="AO567" s="25"/>
      <c r="AP567" s="25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32"/>
      <c r="AL568" s="25"/>
      <c r="AM568" s="25"/>
      <c r="AN568" s="25"/>
      <c r="AO568" s="25"/>
      <c r="AP568" s="25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24"/>
      <c r="AL569" s="25"/>
      <c r="AM569" s="25"/>
      <c r="AN569" s="25"/>
      <c r="AO569" s="25"/>
      <c r="AP569" s="25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32"/>
      <c r="AL570" s="25"/>
      <c r="AM570" s="25"/>
      <c r="AN570" s="25"/>
      <c r="AO570" s="25"/>
      <c r="AP570" s="25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24"/>
      <c r="AL571" s="25"/>
      <c r="AM571" s="25"/>
      <c r="AN571" s="25"/>
      <c r="AO571" s="25"/>
      <c r="AP571" s="25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32"/>
      <c r="AL572" s="25"/>
      <c r="AM572" s="25"/>
      <c r="AN572" s="25"/>
      <c r="AO572" s="25"/>
      <c r="AP572" s="25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24"/>
      <c r="AL573" s="25"/>
      <c r="AM573" s="25"/>
      <c r="AN573" s="25"/>
      <c r="AO573" s="25"/>
      <c r="AP573" s="25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32"/>
      <c r="AL574" s="25"/>
      <c r="AM574" s="25"/>
      <c r="AN574" s="25"/>
      <c r="AO574" s="25"/>
      <c r="AP574" s="25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24"/>
      <c r="AL575" s="25"/>
      <c r="AM575" s="25"/>
      <c r="AN575" s="25"/>
      <c r="AO575" s="25"/>
      <c r="AP575" s="25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32"/>
      <c r="AL576" s="25"/>
      <c r="AM576" s="25"/>
      <c r="AN576" s="25"/>
      <c r="AO576" s="25"/>
      <c r="AP576" s="25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24"/>
      <c r="AL577" s="25"/>
      <c r="AM577" s="25"/>
      <c r="AN577" s="25"/>
      <c r="AO577" s="25"/>
      <c r="AP577" s="25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32"/>
      <c r="AL578" s="25"/>
      <c r="AM578" s="25"/>
      <c r="AN578" s="25"/>
      <c r="AO578" s="25"/>
      <c r="AP578" s="25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24"/>
      <c r="AL579" s="25"/>
      <c r="AM579" s="25"/>
      <c r="AN579" s="25"/>
      <c r="AO579" s="25"/>
      <c r="AP579" s="25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32"/>
      <c r="AL580" s="25"/>
      <c r="AM580" s="25"/>
      <c r="AN580" s="25"/>
      <c r="AO580" s="25"/>
      <c r="AP580" s="25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24"/>
      <c r="AL581" s="25"/>
      <c r="AM581" s="25"/>
      <c r="AN581" s="25"/>
      <c r="AO581" s="25"/>
      <c r="AP581" s="25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32"/>
      <c r="AL582" s="25"/>
      <c r="AM582" s="25"/>
      <c r="AN582" s="25"/>
      <c r="AO582" s="25"/>
      <c r="AP582" s="25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24"/>
      <c r="AL583" s="25"/>
      <c r="AM583" s="25"/>
      <c r="AN583" s="25"/>
      <c r="AO583" s="25"/>
      <c r="AP583" s="25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32"/>
      <c r="AL584" s="25"/>
      <c r="AM584" s="25"/>
      <c r="AN584" s="25"/>
      <c r="AO584" s="25"/>
      <c r="AP584" s="25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24"/>
      <c r="AL585" s="25"/>
      <c r="AM585" s="25"/>
      <c r="AN585" s="25"/>
      <c r="AO585" s="25"/>
      <c r="AP585" s="25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32"/>
      <c r="AL586" s="25"/>
      <c r="AM586" s="25"/>
      <c r="AN586" s="25"/>
      <c r="AO586" s="25"/>
      <c r="AP586" s="25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24"/>
      <c r="AL587" s="25"/>
      <c r="AM587" s="25"/>
      <c r="AN587" s="25"/>
      <c r="AO587" s="25"/>
      <c r="AP587" s="25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32"/>
      <c r="AL588" s="25"/>
      <c r="AM588" s="25"/>
      <c r="AN588" s="25"/>
      <c r="AO588" s="25"/>
      <c r="AP588" s="25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24"/>
      <c r="AL589" s="25"/>
      <c r="AM589" s="25"/>
      <c r="AN589" s="25"/>
      <c r="AO589" s="25"/>
      <c r="AP589" s="25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32"/>
      <c r="AL590" s="25"/>
      <c r="AM590" s="25"/>
      <c r="AN590" s="25"/>
      <c r="AO590" s="25"/>
      <c r="AP590" s="25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24"/>
      <c r="AL591" s="25"/>
      <c r="AM591" s="25"/>
      <c r="AN591" s="25"/>
      <c r="AO591" s="25"/>
      <c r="AP591" s="25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32"/>
      <c r="AL592" s="25"/>
      <c r="AM592" s="25"/>
      <c r="AN592" s="25"/>
      <c r="AO592" s="25"/>
      <c r="AP592" s="25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24"/>
      <c r="AL593" s="25"/>
      <c r="AM593" s="25"/>
      <c r="AN593" s="25"/>
      <c r="AO593" s="25"/>
      <c r="AP593" s="25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32"/>
      <c r="AL594" s="25"/>
      <c r="AM594" s="25"/>
      <c r="AN594" s="25"/>
      <c r="AO594" s="25"/>
      <c r="AP594" s="25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24"/>
      <c r="AL595" s="25"/>
      <c r="AM595" s="25"/>
      <c r="AN595" s="25"/>
      <c r="AO595" s="25"/>
      <c r="AP595" s="25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32"/>
      <c r="AL596" s="25"/>
      <c r="AM596" s="25"/>
      <c r="AN596" s="25"/>
      <c r="AO596" s="25"/>
      <c r="AP596" s="25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24"/>
      <c r="AL597" s="25"/>
      <c r="AM597" s="25"/>
      <c r="AN597" s="25"/>
      <c r="AO597" s="25"/>
      <c r="AP597" s="25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32"/>
      <c r="AL598" s="25"/>
      <c r="AM598" s="25"/>
      <c r="AN598" s="25"/>
      <c r="AO598" s="25"/>
      <c r="AP598" s="25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24"/>
      <c r="AL599" s="25"/>
      <c r="AM599" s="25"/>
      <c r="AN599" s="25"/>
      <c r="AO599" s="25"/>
      <c r="AP599" s="25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32"/>
      <c r="AL600" s="25"/>
      <c r="AM600" s="25"/>
      <c r="AN600" s="25"/>
      <c r="AO600" s="25"/>
      <c r="AP600" s="25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24"/>
      <c r="AL601" s="25"/>
      <c r="AM601" s="25"/>
      <c r="AN601" s="25"/>
      <c r="AO601" s="25"/>
      <c r="AP601" s="25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32"/>
      <c r="AL602" s="25"/>
      <c r="AM602" s="25"/>
      <c r="AN602" s="25"/>
      <c r="AO602" s="25"/>
      <c r="AP602" s="25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24"/>
      <c r="AL603" s="25"/>
      <c r="AM603" s="25"/>
      <c r="AN603" s="25"/>
      <c r="AO603" s="25"/>
      <c r="AP603" s="25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32"/>
      <c r="AL604" s="25"/>
      <c r="AM604" s="25"/>
      <c r="AN604" s="25"/>
      <c r="AO604" s="25"/>
      <c r="AP604" s="25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24"/>
      <c r="AL605" s="25"/>
      <c r="AM605" s="25"/>
      <c r="AN605" s="25"/>
      <c r="AO605" s="25"/>
      <c r="AP605" s="25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32"/>
      <c r="AL606" s="25"/>
      <c r="AM606" s="25"/>
      <c r="AN606" s="25"/>
      <c r="AO606" s="25"/>
      <c r="AP606" s="25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24"/>
      <c r="AL607" s="25"/>
      <c r="AM607" s="25"/>
      <c r="AN607" s="25"/>
      <c r="AO607" s="25"/>
      <c r="AP607" s="25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32"/>
      <c r="AL608" s="25"/>
      <c r="AM608" s="25"/>
      <c r="AN608" s="25"/>
      <c r="AO608" s="25"/>
      <c r="AP608" s="25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24"/>
      <c r="AL609" s="25"/>
      <c r="AM609" s="25"/>
      <c r="AN609" s="25"/>
      <c r="AO609" s="25"/>
      <c r="AP609" s="25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32"/>
      <c r="AL610" s="25"/>
      <c r="AM610" s="25"/>
      <c r="AN610" s="25"/>
      <c r="AO610" s="25"/>
      <c r="AP610" s="25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24"/>
      <c r="AL611" s="25"/>
      <c r="AM611" s="25"/>
      <c r="AN611" s="25"/>
      <c r="AO611" s="25"/>
      <c r="AP611" s="25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32"/>
      <c r="AL612" s="25"/>
      <c r="AM612" s="25"/>
      <c r="AN612" s="25"/>
      <c r="AO612" s="25"/>
      <c r="AP612" s="25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24"/>
      <c r="AL613" s="25"/>
      <c r="AM613" s="25"/>
      <c r="AN613" s="25"/>
      <c r="AO613" s="25"/>
      <c r="AP613" s="25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32"/>
      <c r="AL614" s="25"/>
      <c r="AM614" s="25"/>
      <c r="AN614" s="25"/>
      <c r="AO614" s="25"/>
      <c r="AP614" s="25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24"/>
      <c r="AL615" s="25"/>
      <c r="AM615" s="25"/>
      <c r="AN615" s="25"/>
      <c r="AO615" s="25"/>
      <c r="AP615" s="25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32"/>
      <c r="AL616" s="25"/>
      <c r="AM616" s="25"/>
      <c r="AN616" s="25"/>
      <c r="AO616" s="25"/>
      <c r="AP616" s="25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24"/>
      <c r="AL617" s="25"/>
      <c r="AM617" s="25"/>
      <c r="AN617" s="25"/>
      <c r="AO617" s="25"/>
      <c r="AP617" s="25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32"/>
      <c r="AL618" s="25"/>
      <c r="AM618" s="25"/>
      <c r="AN618" s="25"/>
      <c r="AO618" s="25"/>
      <c r="AP618" s="25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24"/>
      <c r="AL619" s="25"/>
      <c r="AM619" s="25"/>
      <c r="AN619" s="25"/>
      <c r="AO619" s="25"/>
      <c r="AP619" s="25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32"/>
      <c r="AL620" s="25"/>
      <c r="AM620" s="25"/>
      <c r="AN620" s="25"/>
      <c r="AO620" s="25"/>
      <c r="AP620" s="25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24"/>
      <c r="AL621" s="25"/>
      <c r="AM621" s="25"/>
      <c r="AN621" s="25"/>
      <c r="AO621" s="25"/>
      <c r="AP621" s="25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32"/>
      <c r="AL622" s="25"/>
      <c r="AM622" s="25"/>
      <c r="AN622" s="25"/>
      <c r="AO622" s="25"/>
      <c r="AP622" s="25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24"/>
      <c r="AL623" s="25"/>
      <c r="AM623" s="25"/>
      <c r="AN623" s="25"/>
      <c r="AO623" s="25"/>
      <c r="AP623" s="25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32"/>
      <c r="AL624" s="25"/>
      <c r="AM624" s="25"/>
      <c r="AN624" s="25"/>
      <c r="AO624" s="25"/>
      <c r="AP624" s="25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24"/>
      <c r="AL625" s="25"/>
      <c r="AM625" s="25"/>
      <c r="AN625" s="25"/>
      <c r="AO625" s="25"/>
      <c r="AP625" s="25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32"/>
      <c r="AL626" s="25"/>
      <c r="AM626" s="25"/>
      <c r="AN626" s="25"/>
      <c r="AO626" s="25"/>
      <c r="AP626" s="25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24"/>
      <c r="AL627" s="25"/>
      <c r="AM627" s="25"/>
      <c r="AN627" s="25"/>
      <c r="AO627" s="25"/>
      <c r="AP627" s="25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32"/>
      <c r="AL628" s="25"/>
      <c r="AM628" s="25"/>
      <c r="AN628" s="25"/>
      <c r="AO628" s="25"/>
      <c r="AP628" s="25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24"/>
      <c r="AL629" s="25"/>
      <c r="AM629" s="25"/>
      <c r="AN629" s="25"/>
      <c r="AO629" s="25"/>
      <c r="AP629" s="25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32"/>
      <c r="AL630" s="25"/>
      <c r="AM630" s="25"/>
      <c r="AN630" s="25"/>
      <c r="AO630" s="25"/>
      <c r="AP630" s="25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24"/>
      <c r="AL631" s="25"/>
      <c r="AM631" s="25"/>
      <c r="AN631" s="25"/>
      <c r="AO631" s="25"/>
      <c r="AP631" s="25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32"/>
      <c r="AL632" s="25"/>
      <c r="AM632" s="25"/>
      <c r="AN632" s="25"/>
      <c r="AO632" s="25"/>
      <c r="AP632" s="25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24"/>
      <c r="AL633" s="25"/>
      <c r="AM633" s="25"/>
      <c r="AN633" s="25"/>
      <c r="AO633" s="25"/>
      <c r="AP633" s="25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32"/>
      <c r="AL634" s="25"/>
      <c r="AM634" s="25"/>
      <c r="AN634" s="25"/>
      <c r="AO634" s="25"/>
      <c r="AP634" s="25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24"/>
      <c r="AL635" s="25"/>
      <c r="AM635" s="25"/>
      <c r="AN635" s="25"/>
      <c r="AO635" s="25"/>
      <c r="AP635" s="25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32"/>
      <c r="AL636" s="25"/>
      <c r="AM636" s="25"/>
      <c r="AN636" s="25"/>
      <c r="AO636" s="25"/>
      <c r="AP636" s="25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24"/>
      <c r="AL637" s="25"/>
      <c r="AM637" s="25"/>
      <c r="AN637" s="25"/>
      <c r="AO637" s="25"/>
      <c r="AP637" s="25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32"/>
      <c r="AL638" s="25"/>
      <c r="AM638" s="25"/>
      <c r="AN638" s="25"/>
      <c r="AO638" s="25"/>
      <c r="AP638" s="25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24"/>
      <c r="AL639" s="25"/>
      <c r="AM639" s="25"/>
      <c r="AN639" s="25"/>
      <c r="AO639" s="25"/>
      <c r="AP639" s="25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32"/>
      <c r="AL640" s="25"/>
      <c r="AM640" s="25"/>
      <c r="AN640" s="25"/>
      <c r="AO640" s="25"/>
      <c r="AP640" s="25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24"/>
      <c r="AL641" s="25"/>
      <c r="AM641" s="25"/>
      <c r="AN641" s="25"/>
      <c r="AO641" s="25"/>
      <c r="AP641" s="25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32"/>
      <c r="AL642" s="25"/>
      <c r="AM642" s="25"/>
      <c r="AN642" s="25"/>
      <c r="AO642" s="25"/>
      <c r="AP642" s="25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24"/>
      <c r="AL643" s="25"/>
      <c r="AM643" s="25"/>
      <c r="AN643" s="25"/>
      <c r="AO643" s="25"/>
      <c r="AP643" s="25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32"/>
      <c r="AL644" s="25"/>
      <c r="AM644" s="25"/>
      <c r="AN644" s="25"/>
      <c r="AO644" s="25"/>
      <c r="AP644" s="25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24"/>
      <c r="AL645" s="25"/>
      <c r="AM645" s="25"/>
      <c r="AN645" s="25"/>
      <c r="AO645" s="25"/>
      <c r="AP645" s="25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32"/>
      <c r="AL646" s="25"/>
      <c r="AM646" s="25"/>
      <c r="AN646" s="25"/>
      <c r="AO646" s="25"/>
      <c r="AP646" s="25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24"/>
      <c r="AL647" s="25"/>
      <c r="AM647" s="25"/>
      <c r="AN647" s="25"/>
      <c r="AO647" s="25"/>
      <c r="AP647" s="25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32"/>
      <c r="AL648" s="25"/>
      <c r="AM648" s="25"/>
      <c r="AN648" s="25"/>
      <c r="AO648" s="25"/>
      <c r="AP648" s="25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24"/>
      <c r="AL649" s="25"/>
      <c r="AM649" s="25"/>
      <c r="AN649" s="25"/>
      <c r="AO649" s="25"/>
      <c r="AP649" s="25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32"/>
      <c r="AL650" s="25"/>
      <c r="AM650" s="25"/>
      <c r="AN650" s="25"/>
      <c r="AO650" s="25"/>
      <c r="AP650" s="25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24"/>
      <c r="AL651" s="25"/>
      <c r="AM651" s="25"/>
      <c r="AN651" s="25"/>
      <c r="AO651" s="25"/>
      <c r="AP651" s="25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32"/>
      <c r="AL652" s="25"/>
      <c r="AM652" s="25"/>
      <c r="AN652" s="25"/>
      <c r="AO652" s="25"/>
      <c r="AP652" s="25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24"/>
      <c r="AL653" s="25"/>
      <c r="AM653" s="25"/>
      <c r="AN653" s="25"/>
      <c r="AO653" s="25"/>
      <c r="AP653" s="25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32"/>
      <c r="AL654" s="25"/>
      <c r="AM654" s="25"/>
      <c r="AN654" s="25"/>
      <c r="AO654" s="25"/>
      <c r="AP654" s="25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24"/>
      <c r="AL655" s="25"/>
      <c r="AM655" s="25"/>
      <c r="AN655" s="25"/>
      <c r="AO655" s="25"/>
      <c r="AP655" s="25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32"/>
      <c r="AL656" s="25"/>
      <c r="AM656" s="25"/>
      <c r="AN656" s="25"/>
      <c r="AO656" s="25"/>
      <c r="AP656" s="25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24"/>
      <c r="AL657" s="25"/>
      <c r="AM657" s="25"/>
      <c r="AN657" s="25"/>
      <c r="AO657" s="25"/>
      <c r="AP657" s="25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32"/>
      <c r="AL658" s="25"/>
      <c r="AM658" s="25"/>
      <c r="AN658" s="25"/>
      <c r="AO658" s="25"/>
      <c r="AP658" s="25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24"/>
      <c r="AL659" s="25"/>
      <c r="AM659" s="25"/>
      <c r="AN659" s="25"/>
      <c r="AO659" s="25"/>
      <c r="AP659" s="25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32"/>
      <c r="AL660" s="25"/>
      <c r="AM660" s="25"/>
      <c r="AN660" s="25"/>
      <c r="AO660" s="25"/>
      <c r="AP660" s="25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24"/>
      <c r="AL661" s="25"/>
      <c r="AM661" s="25"/>
      <c r="AN661" s="25"/>
      <c r="AO661" s="25"/>
      <c r="AP661" s="25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32"/>
      <c r="AL662" s="25"/>
      <c r="AM662" s="25"/>
      <c r="AN662" s="25"/>
      <c r="AO662" s="25"/>
      <c r="AP662" s="25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24"/>
      <c r="AL663" s="25"/>
      <c r="AM663" s="25"/>
      <c r="AN663" s="25"/>
      <c r="AO663" s="25"/>
      <c r="AP663" s="25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32"/>
      <c r="AL664" s="25"/>
      <c r="AM664" s="25"/>
      <c r="AN664" s="25"/>
      <c r="AO664" s="25"/>
      <c r="AP664" s="25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24"/>
      <c r="AL665" s="25"/>
      <c r="AM665" s="25"/>
      <c r="AN665" s="25"/>
      <c r="AO665" s="25"/>
      <c r="AP665" s="25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32"/>
      <c r="AL666" s="25"/>
      <c r="AM666" s="25"/>
      <c r="AN666" s="25"/>
      <c r="AO666" s="25"/>
      <c r="AP666" s="25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24"/>
      <c r="AL667" s="25"/>
      <c r="AM667" s="25"/>
      <c r="AN667" s="25"/>
      <c r="AO667" s="25"/>
      <c r="AP667" s="25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32"/>
      <c r="AL668" s="25"/>
      <c r="AM668" s="25"/>
      <c r="AN668" s="25"/>
      <c r="AO668" s="25"/>
      <c r="AP668" s="25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24"/>
      <c r="AL669" s="25"/>
      <c r="AM669" s="25"/>
      <c r="AN669" s="25"/>
      <c r="AO669" s="25"/>
      <c r="AP669" s="25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32"/>
      <c r="AL670" s="25"/>
      <c r="AM670" s="25"/>
      <c r="AN670" s="25"/>
      <c r="AO670" s="25"/>
      <c r="AP670" s="25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24"/>
      <c r="AL671" s="25"/>
      <c r="AM671" s="25"/>
      <c r="AN671" s="25"/>
      <c r="AO671" s="25"/>
      <c r="AP671" s="25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32"/>
      <c r="AL672" s="25"/>
      <c r="AM672" s="25"/>
      <c r="AN672" s="25"/>
      <c r="AO672" s="25"/>
      <c r="AP672" s="25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24"/>
      <c r="AL673" s="25"/>
      <c r="AM673" s="25"/>
      <c r="AN673" s="25"/>
      <c r="AO673" s="25"/>
      <c r="AP673" s="25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32"/>
      <c r="AL674" s="25"/>
      <c r="AM674" s="25"/>
      <c r="AN674" s="25"/>
      <c r="AO674" s="25"/>
      <c r="AP674" s="25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24"/>
      <c r="AL675" s="25"/>
      <c r="AM675" s="25"/>
      <c r="AN675" s="25"/>
      <c r="AO675" s="25"/>
      <c r="AP675" s="25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32"/>
      <c r="AL676" s="25"/>
      <c r="AM676" s="25"/>
      <c r="AN676" s="25"/>
      <c r="AO676" s="25"/>
      <c r="AP676" s="25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24"/>
      <c r="AL677" s="25"/>
      <c r="AM677" s="25"/>
      <c r="AN677" s="25"/>
      <c r="AO677" s="25"/>
      <c r="AP677" s="25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32"/>
      <c r="AL678" s="25"/>
      <c r="AM678" s="25"/>
      <c r="AN678" s="25"/>
      <c r="AO678" s="25"/>
      <c r="AP678" s="25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24"/>
      <c r="AL679" s="25"/>
      <c r="AM679" s="25"/>
      <c r="AN679" s="25"/>
      <c r="AO679" s="25"/>
      <c r="AP679" s="25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32"/>
      <c r="AL680" s="25"/>
      <c r="AM680" s="25"/>
      <c r="AN680" s="25"/>
      <c r="AO680" s="25"/>
      <c r="AP680" s="25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24"/>
      <c r="AL681" s="25"/>
      <c r="AM681" s="25"/>
      <c r="AN681" s="25"/>
      <c r="AO681" s="25"/>
      <c r="AP681" s="25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32"/>
      <c r="AL682" s="25"/>
      <c r="AM682" s="25"/>
      <c r="AN682" s="25"/>
      <c r="AO682" s="25"/>
      <c r="AP682" s="25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24"/>
      <c r="AL683" s="25"/>
      <c r="AM683" s="25"/>
      <c r="AN683" s="25"/>
      <c r="AO683" s="25"/>
      <c r="AP683" s="25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32"/>
      <c r="AL684" s="25"/>
      <c r="AM684" s="25"/>
      <c r="AN684" s="25"/>
      <c r="AO684" s="25"/>
      <c r="AP684" s="25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24"/>
      <c r="AL685" s="25"/>
      <c r="AM685" s="25"/>
      <c r="AN685" s="25"/>
      <c r="AO685" s="25"/>
      <c r="AP685" s="25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32"/>
      <c r="AL686" s="25"/>
      <c r="AM686" s="25"/>
      <c r="AN686" s="25"/>
      <c r="AO686" s="25"/>
      <c r="AP686" s="25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24"/>
      <c r="AL687" s="25"/>
      <c r="AM687" s="25"/>
      <c r="AN687" s="25"/>
      <c r="AO687" s="25"/>
      <c r="AP687" s="25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32"/>
      <c r="AL688" s="25"/>
      <c r="AM688" s="25"/>
      <c r="AN688" s="25"/>
      <c r="AO688" s="25"/>
      <c r="AP688" s="25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24"/>
      <c r="AL689" s="25"/>
      <c r="AM689" s="25"/>
      <c r="AN689" s="25"/>
      <c r="AO689" s="25"/>
      <c r="AP689" s="25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32"/>
      <c r="AL690" s="25"/>
      <c r="AM690" s="25"/>
      <c r="AN690" s="25"/>
      <c r="AO690" s="25"/>
      <c r="AP690" s="25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24"/>
      <c r="AL691" s="25"/>
      <c r="AM691" s="25"/>
      <c r="AN691" s="25"/>
      <c r="AO691" s="25"/>
      <c r="AP691" s="25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32"/>
      <c r="AL692" s="25"/>
      <c r="AM692" s="25"/>
      <c r="AN692" s="25"/>
      <c r="AO692" s="25"/>
      <c r="AP692" s="25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24"/>
      <c r="AL693" s="25"/>
      <c r="AM693" s="25"/>
      <c r="AN693" s="25"/>
      <c r="AO693" s="25"/>
      <c r="AP693" s="25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32"/>
      <c r="AL694" s="25"/>
      <c r="AM694" s="25"/>
      <c r="AN694" s="25"/>
      <c r="AO694" s="25"/>
      <c r="AP694" s="25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24"/>
      <c r="AL695" s="25"/>
      <c r="AM695" s="25"/>
      <c r="AN695" s="25"/>
      <c r="AO695" s="25"/>
      <c r="AP695" s="25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32"/>
      <c r="AL696" s="25"/>
      <c r="AM696" s="25"/>
      <c r="AN696" s="25"/>
      <c r="AO696" s="25"/>
      <c r="AP696" s="25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24"/>
      <c r="AL697" s="25"/>
      <c r="AM697" s="25"/>
      <c r="AN697" s="25"/>
      <c r="AO697" s="25"/>
      <c r="AP697" s="25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32"/>
      <c r="AL698" s="25"/>
      <c r="AM698" s="25"/>
      <c r="AN698" s="25"/>
      <c r="AO698" s="25"/>
      <c r="AP698" s="25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24"/>
      <c r="AL699" s="25"/>
      <c r="AM699" s="25"/>
      <c r="AN699" s="25"/>
      <c r="AO699" s="25"/>
      <c r="AP699" s="25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32"/>
      <c r="AL700" s="25"/>
      <c r="AM700" s="25"/>
      <c r="AN700" s="25"/>
      <c r="AO700" s="25"/>
      <c r="AP700" s="25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24"/>
      <c r="AL701" s="25"/>
      <c r="AM701" s="25"/>
      <c r="AN701" s="25"/>
      <c r="AO701" s="25"/>
      <c r="AP701" s="25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32"/>
      <c r="AL702" s="25"/>
      <c r="AM702" s="25"/>
      <c r="AN702" s="25"/>
      <c r="AO702" s="25"/>
      <c r="AP702" s="25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24"/>
      <c r="AL703" s="25"/>
      <c r="AM703" s="25"/>
      <c r="AN703" s="25"/>
      <c r="AO703" s="25"/>
      <c r="AP703" s="25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32"/>
      <c r="AL704" s="25"/>
      <c r="AM704" s="25"/>
      <c r="AN704" s="25"/>
      <c r="AO704" s="25"/>
      <c r="AP704" s="25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24"/>
      <c r="AL705" s="25"/>
      <c r="AM705" s="25"/>
      <c r="AN705" s="25"/>
      <c r="AO705" s="25"/>
      <c r="AP705" s="25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32"/>
      <c r="AL706" s="25"/>
      <c r="AM706" s="25"/>
      <c r="AN706" s="25"/>
      <c r="AO706" s="25"/>
      <c r="AP706" s="25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24"/>
      <c r="AL707" s="25"/>
      <c r="AM707" s="25"/>
      <c r="AN707" s="25"/>
      <c r="AO707" s="25"/>
      <c r="AP707" s="25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32"/>
      <c r="AL708" s="25"/>
      <c r="AM708" s="25"/>
      <c r="AN708" s="25"/>
      <c r="AO708" s="25"/>
      <c r="AP708" s="25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24"/>
      <c r="AL709" s="25"/>
      <c r="AM709" s="25"/>
      <c r="AN709" s="25"/>
      <c r="AO709" s="25"/>
      <c r="AP709" s="25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32"/>
      <c r="AL710" s="25"/>
      <c r="AM710" s="25"/>
      <c r="AN710" s="25"/>
      <c r="AO710" s="25"/>
      <c r="AP710" s="25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24"/>
      <c r="AL711" s="25"/>
      <c r="AM711" s="25"/>
      <c r="AN711" s="25"/>
      <c r="AO711" s="25"/>
      <c r="AP711" s="25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32"/>
      <c r="AL712" s="25"/>
      <c r="AM712" s="25"/>
      <c r="AN712" s="25"/>
      <c r="AO712" s="25"/>
      <c r="AP712" s="25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24"/>
      <c r="AL713" s="25"/>
      <c r="AM713" s="25"/>
      <c r="AN713" s="25"/>
      <c r="AO713" s="25"/>
      <c r="AP713" s="25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32"/>
      <c r="AL714" s="25"/>
      <c r="AM714" s="25"/>
      <c r="AN714" s="25"/>
      <c r="AO714" s="25"/>
      <c r="AP714" s="25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24"/>
      <c r="AL715" s="25"/>
      <c r="AM715" s="25"/>
      <c r="AN715" s="25"/>
      <c r="AO715" s="25"/>
      <c r="AP715" s="25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32"/>
      <c r="AL716" s="25"/>
      <c r="AM716" s="25"/>
      <c r="AN716" s="25"/>
      <c r="AO716" s="25"/>
      <c r="AP716" s="25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24"/>
      <c r="AL717" s="25"/>
      <c r="AM717" s="25"/>
      <c r="AN717" s="25"/>
      <c r="AO717" s="25"/>
      <c r="AP717" s="25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32"/>
      <c r="AL718" s="25"/>
      <c r="AM718" s="25"/>
      <c r="AN718" s="25"/>
      <c r="AO718" s="25"/>
      <c r="AP718" s="25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24"/>
      <c r="AL719" s="25"/>
      <c r="AM719" s="25"/>
      <c r="AN719" s="25"/>
      <c r="AO719" s="25"/>
      <c r="AP719" s="25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32"/>
      <c r="AL720" s="25"/>
      <c r="AM720" s="25"/>
      <c r="AN720" s="25"/>
      <c r="AO720" s="25"/>
      <c r="AP720" s="25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24"/>
      <c r="AL721" s="25"/>
      <c r="AM721" s="25"/>
      <c r="AN721" s="25"/>
      <c r="AO721" s="25"/>
      <c r="AP721" s="25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32"/>
      <c r="AL722" s="25"/>
      <c r="AM722" s="25"/>
      <c r="AN722" s="25"/>
      <c r="AO722" s="25"/>
      <c r="AP722" s="25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24"/>
      <c r="AL723" s="25"/>
      <c r="AM723" s="25"/>
      <c r="AN723" s="25"/>
      <c r="AO723" s="25"/>
      <c r="AP723" s="25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32"/>
      <c r="AL724" s="25"/>
      <c r="AM724" s="25"/>
      <c r="AN724" s="25"/>
      <c r="AO724" s="25"/>
      <c r="AP724" s="25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24"/>
      <c r="AL725" s="25"/>
      <c r="AM725" s="25"/>
      <c r="AN725" s="25"/>
      <c r="AO725" s="25"/>
      <c r="AP725" s="25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32"/>
      <c r="AL726" s="25"/>
      <c r="AM726" s="25"/>
      <c r="AN726" s="25"/>
      <c r="AO726" s="25"/>
      <c r="AP726" s="25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24"/>
      <c r="AL727" s="25"/>
      <c r="AM727" s="25"/>
      <c r="AN727" s="25"/>
      <c r="AO727" s="25"/>
      <c r="AP727" s="25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32"/>
      <c r="AL728" s="25"/>
      <c r="AM728" s="25"/>
      <c r="AN728" s="25"/>
      <c r="AO728" s="25"/>
      <c r="AP728" s="25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24"/>
      <c r="AL729" s="25"/>
      <c r="AM729" s="25"/>
      <c r="AN729" s="25"/>
      <c r="AO729" s="25"/>
      <c r="AP729" s="25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32"/>
      <c r="AL730" s="25"/>
      <c r="AM730" s="25"/>
      <c r="AN730" s="25"/>
      <c r="AO730" s="25"/>
      <c r="AP730" s="25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24"/>
      <c r="AL731" s="25"/>
      <c r="AM731" s="25"/>
      <c r="AN731" s="25"/>
      <c r="AO731" s="25"/>
      <c r="AP731" s="25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32"/>
      <c r="AL732" s="25"/>
      <c r="AM732" s="25"/>
      <c r="AN732" s="25"/>
      <c r="AO732" s="25"/>
      <c r="AP732" s="25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24"/>
      <c r="AL733" s="25"/>
      <c r="AM733" s="25"/>
      <c r="AN733" s="25"/>
      <c r="AO733" s="25"/>
      <c r="AP733" s="25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32"/>
      <c r="AL734" s="25"/>
      <c r="AM734" s="25"/>
      <c r="AN734" s="25"/>
      <c r="AO734" s="25"/>
      <c r="AP734" s="25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24"/>
      <c r="AL735" s="25"/>
      <c r="AM735" s="25"/>
      <c r="AN735" s="25"/>
      <c r="AO735" s="25"/>
      <c r="AP735" s="25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32"/>
      <c r="AL736" s="25"/>
      <c r="AM736" s="25"/>
      <c r="AN736" s="25"/>
      <c r="AO736" s="25"/>
      <c r="AP736" s="25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24"/>
      <c r="AL737" s="25"/>
      <c r="AM737" s="25"/>
      <c r="AN737" s="25"/>
      <c r="AO737" s="25"/>
      <c r="AP737" s="25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32"/>
      <c r="AL738" s="25"/>
      <c r="AM738" s="25"/>
      <c r="AN738" s="25"/>
      <c r="AO738" s="25"/>
      <c r="AP738" s="25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24"/>
      <c r="AL739" s="25"/>
      <c r="AM739" s="25"/>
      <c r="AN739" s="25"/>
      <c r="AO739" s="25"/>
      <c r="AP739" s="25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32"/>
      <c r="AL740" s="25"/>
      <c r="AM740" s="25"/>
      <c r="AN740" s="25"/>
      <c r="AO740" s="25"/>
      <c r="AP740" s="25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24"/>
      <c r="AL741" s="25"/>
      <c r="AM741" s="25"/>
      <c r="AN741" s="25"/>
      <c r="AO741" s="25"/>
      <c r="AP741" s="25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32"/>
      <c r="AL742" s="25"/>
      <c r="AM742" s="25"/>
      <c r="AN742" s="25"/>
      <c r="AO742" s="25"/>
      <c r="AP742" s="25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24"/>
      <c r="AL743" s="25"/>
      <c r="AM743" s="25"/>
      <c r="AN743" s="25"/>
      <c r="AO743" s="25"/>
      <c r="AP743" s="25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32"/>
      <c r="AL744" s="25"/>
      <c r="AM744" s="25"/>
      <c r="AN744" s="25"/>
      <c r="AO744" s="25"/>
      <c r="AP744" s="25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24"/>
      <c r="AL745" s="25"/>
      <c r="AM745" s="25"/>
      <c r="AN745" s="25"/>
      <c r="AO745" s="25"/>
      <c r="AP745" s="25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32"/>
      <c r="AL746" s="25"/>
      <c r="AM746" s="25"/>
      <c r="AN746" s="25"/>
      <c r="AO746" s="25"/>
      <c r="AP746" s="25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24"/>
      <c r="AL747" s="25"/>
      <c r="AM747" s="25"/>
      <c r="AN747" s="25"/>
      <c r="AO747" s="25"/>
      <c r="AP747" s="25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32"/>
      <c r="AL748" s="25"/>
      <c r="AM748" s="25"/>
      <c r="AN748" s="25"/>
      <c r="AO748" s="25"/>
      <c r="AP748" s="25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24"/>
      <c r="AL749" s="25"/>
      <c r="AM749" s="25"/>
      <c r="AN749" s="25"/>
      <c r="AO749" s="25"/>
      <c r="AP749" s="25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32"/>
      <c r="AL750" s="25"/>
      <c r="AM750" s="25"/>
      <c r="AN750" s="25"/>
      <c r="AO750" s="25"/>
      <c r="AP750" s="25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24"/>
      <c r="AL751" s="25"/>
      <c r="AM751" s="25"/>
      <c r="AN751" s="25"/>
      <c r="AO751" s="25"/>
      <c r="AP751" s="25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32"/>
      <c r="AL752" s="25"/>
      <c r="AM752" s="25"/>
      <c r="AN752" s="25"/>
      <c r="AO752" s="25"/>
      <c r="AP752" s="25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24"/>
      <c r="AL753" s="25"/>
      <c r="AM753" s="25"/>
      <c r="AN753" s="25"/>
      <c r="AO753" s="25"/>
      <c r="AP753" s="25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32"/>
      <c r="AL754" s="25"/>
      <c r="AM754" s="25"/>
      <c r="AN754" s="25"/>
      <c r="AO754" s="25"/>
      <c r="AP754" s="25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24"/>
      <c r="AL755" s="25"/>
      <c r="AM755" s="25"/>
      <c r="AN755" s="25"/>
      <c r="AO755" s="25"/>
      <c r="AP755" s="25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32"/>
      <c r="AL756" s="25"/>
      <c r="AM756" s="25"/>
      <c r="AN756" s="25"/>
      <c r="AO756" s="25"/>
      <c r="AP756" s="25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24"/>
      <c r="AL757" s="25"/>
      <c r="AM757" s="25"/>
      <c r="AN757" s="25"/>
      <c r="AO757" s="25"/>
      <c r="AP757" s="25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32"/>
      <c r="AL758" s="25"/>
      <c r="AM758" s="25"/>
      <c r="AN758" s="25"/>
      <c r="AO758" s="25"/>
      <c r="AP758" s="25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24"/>
      <c r="AL759" s="25"/>
      <c r="AM759" s="25"/>
      <c r="AN759" s="25"/>
      <c r="AO759" s="25"/>
      <c r="AP759" s="25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32"/>
      <c r="AL760" s="25"/>
      <c r="AM760" s="25"/>
      <c r="AN760" s="25"/>
      <c r="AO760" s="25"/>
      <c r="AP760" s="25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24"/>
      <c r="AL761" s="25"/>
      <c r="AM761" s="25"/>
      <c r="AN761" s="25"/>
      <c r="AO761" s="25"/>
      <c r="AP761" s="25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32"/>
      <c r="AL762" s="25"/>
      <c r="AM762" s="25"/>
      <c r="AN762" s="25"/>
      <c r="AO762" s="25"/>
      <c r="AP762" s="25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24"/>
      <c r="AL763" s="25"/>
      <c r="AM763" s="25"/>
      <c r="AN763" s="25"/>
      <c r="AO763" s="25"/>
      <c r="AP763" s="25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32"/>
      <c r="AL764" s="25"/>
      <c r="AM764" s="25"/>
      <c r="AN764" s="25"/>
      <c r="AO764" s="25"/>
      <c r="AP764" s="25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24"/>
      <c r="AL765" s="25"/>
      <c r="AM765" s="25"/>
      <c r="AN765" s="25"/>
      <c r="AO765" s="25"/>
      <c r="AP765" s="25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32"/>
      <c r="AL766" s="25"/>
      <c r="AM766" s="25"/>
      <c r="AN766" s="25"/>
      <c r="AO766" s="25"/>
      <c r="AP766" s="25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24"/>
      <c r="AL767" s="25"/>
      <c r="AM767" s="25"/>
      <c r="AN767" s="25"/>
      <c r="AO767" s="25"/>
      <c r="AP767" s="25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32"/>
      <c r="AL768" s="25"/>
      <c r="AM768" s="25"/>
      <c r="AN768" s="25"/>
      <c r="AO768" s="25"/>
      <c r="AP768" s="25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24"/>
      <c r="AL769" s="25"/>
      <c r="AM769" s="25"/>
      <c r="AN769" s="25"/>
      <c r="AO769" s="25"/>
      <c r="AP769" s="25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32"/>
      <c r="AL770" s="25"/>
      <c r="AM770" s="25"/>
      <c r="AN770" s="25"/>
      <c r="AO770" s="25"/>
      <c r="AP770" s="25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24"/>
      <c r="AL771" s="25"/>
      <c r="AM771" s="25"/>
      <c r="AN771" s="25"/>
      <c r="AO771" s="25"/>
      <c r="AP771" s="25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32"/>
      <c r="AL772" s="25"/>
      <c r="AM772" s="25"/>
      <c r="AN772" s="25"/>
      <c r="AO772" s="25"/>
      <c r="AP772" s="25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24"/>
      <c r="AL773" s="25"/>
      <c r="AM773" s="25"/>
      <c r="AN773" s="25"/>
      <c r="AO773" s="25"/>
      <c r="AP773" s="25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32"/>
      <c r="AL774" s="25"/>
      <c r="AM774" s="25"/>
      <c r="AN774" s="25"/>
      <c r="AO774" s="25"/>
      <c r="AP774" s="25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24"/>
      <c r="AL775" s="25"/>
      <c r="AM775" s="25"/>
      <c r="AN775" s="25"/>
      <c r="AO775" s="25"/>
      <c r="AP775" s="25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32"/>
      <c r="AL776" s="25"/>
      <c r="AM776" s="25"/>
      <c r="AN776" s="25"/>
      <c r="AO776" s="25"/>
      <c r="AP776" s="25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24"/>
      <c r="AL777" s="25"/>
      <c r="AM777" s="25"/>
      <c r="AN777" s="25"/>
      <c r="AO777" s="25"/>
      <c r="AP777" s="25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32"/>
      <c r="AL778" s="25"/>
      <c r="AM778" s="25"/>
      <c r="AN778" s="25"/>
      <c r="AO778" s="25"/>
      <c r="AP778" s="25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24"/>
      <c r="AL779" s="25"/>
      <c r="AM779" s="25"/>
      <c r="AN779" s="25"/>
      <c r="AO779" s="25"/>
      <c r="AP779" s="25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32"/>
      <c r="AL780" s="25"/>
      <c r="AM780" s="25"/>
      <c r="AN780" s="25"/>
      <c r="AO780" s="25"/>
      <c r="AP780" s="25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24"/>
      <c r="AL781" s="25"/>
      <c r="AM781" s="25"/>
      <c r="AN781" s="25"/>
      <c r="AO781" s="25"/>
      <c r="AP781" s="25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32"/>
      <c r="AL782" s="25"/>
      <c r="AM782" s="25"/>
      <c r="AN782" s="25"/>
      <c r="AO782" s="25"/>
      <c r="AP782" s="25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24"/>
      <c r="AL783" s="25"/>
      <c r="AM783" s="25"/>
      <c r="AN783" s="25"/>
      <c r="AO783" s="25"/>
      <c r="AP783" s="25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32"/>
      <c r="AL784" s="25"/>
      <c r="AM784" s="25"/>
      <c r="AN784" s="25"/>
      <c r="AO784" s="25"/>
      <c r="AP784" s="25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24"/>
      <c r="AL785" s="25"/>
      <c r="AM785" s="25"/>
      <c r="AN785" s="25"/>
      <c r="AO785" s="25"/>
      <c r="AP785" s="25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32"/>
      <c r="AL786" s="25"/>
      <c r="AM786" s="25"/>
      <c r="AN786" s="25"/>
      <c r="AO786" s="25"/>
      <c r="AP786" s="25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24"/>
      <c r="AL787" s="25"/>
      <c r="AM787" s="25"/>
      <c r="AN787" s="25"/>
      <c r="AO787" s="25"/>
      <c r="AP787" s="25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32"/>
      <c r="AL788" s="25"/>
      <c r="AM788" s="25"/>
      <c r="AN788" s="25"/>
      <c r="AO788" s="25"/>
      <c r="AP788" s="25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24"/>
      <c r="AL789" s="25"/>
      <c r="AM789" s="25"/>
      <c r="AN789" s="25"/>
      <c r="AO789" s="25"/>
      <c r="AP789" s="25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32"/>
      <c r="AL790" s="25"/>
      <c r="AM790" s="25"/>
      <c r="AN790" s="25"/>
      <c r="AO790" s="25"/>
      <c r="AP790" s="25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24"/>
      <c r="AL791" s="25"/>
      <c r="AM791" s="25"/>
      <c r="AN791" s="25"/>
      <c r="AO791" s="25"/>
      <c r="AP791" s="25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32"/>
      <c r="AL792" s="25"/>
      <c r="AM792" s="25"/>
      <c r="AN792" s="25"/>
      <c r="AO792" s="25"/>
      <c r="AP792" s="25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24"/>
      <c r="AL793" s="25"/>
      <c r="AM793" s="25"/>
      <c r="AN793" s="25"/>
      <c r="AO793" s="25"/>
      <c r="AP793" s="25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32"/>
      <c r="AL794" s="25"/>
      <c r="AM794" s="25"/>
      <c r="AN794" s="25"/>
      <c r="AO794" s="25"/>
      <c r="AP794" s="25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24"/>
      <c r="AL795" s="25"/>
      <c r="AM795" s="25"/>
      <c r="AN795" s="25"/>
      <c r="AO795" s="25"/>
      <c r="AP795" s="25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32"/>
      <c r="AL796" s="25"/>
      <c r="AM796" s="25"/>
      <c r="AN796" s="25"/>
      <c r="AO796" s="25"/>
      <c r="AP796" s="25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24"/>
      <c r="AL797" s="25"/>
      <c r="AM797" s="25"/>
      <c r="AN797" s="25"/>
      <c r="AO797" s="25"/>
      <c r="AP797" s="25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32"/>
      <c r="AL798" s="25"/>
      <c r="AM798" s="25"/>
      <c r="AN798" s="25"/>
      <c r="AO798" s="25"/>
      <c r="AP798" s="25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24"/>
      <c r="AL799" s="25"/>
      <c r="AM799" s="25"/>
      <c r="AN799" s="25"/>
      <c r="AO799" s="25"/>
      <c r="AP799" s="25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32"/>
      <c r="AL800" s="25"/>
      <c r="AM800" s="25"/>
      <c r="AN800" s="25"/>
      <c r="AO800" s="25"/>
      <c r="AP800" s="25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24"/>
      <c r="AL801" s="25"/>
      <c r="AM801" s="25"/>
      <c r="AN801" s="25"/>
      <c r="AO801" s="25"/>
      <c r="AP801" s="25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32"/>
      <c r="AL802" s="25"/>
      <c r="AM802" s="25"/>
      <c r="AN802" s="25"/>
      <c r="AO802" s="25"/>
      <c r="AP802" s="25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24"/>
      <c r="AL803" s="25"/>
      <c r="AM803" s="25"/>
      <c r="AN803" s="25"/>
      <c r="AO803" s="25"/>
      <c r="AP803" s="25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32"/>
      <c r="AL804" s="25"/>
      <c r="AM804" s="25"/>
      <c r="AN804" s="25"/>
      <c r="AO804" s="25"/>
      <c r="AP804" s="25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24"/>
      <c r="AL805" s="25"/>
      <c r="AM805" s="25"/>
      <c r="AN805" s="25"/>
      <c r="AO805" s="25"/>
      <c r="AP805" s="25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32"/>
      <c r="AL806" s="25"/>
      <c r="AM806" s="25"/>
      <c r="AN806" s="25"/>
      <c r="AO806" s="25"/>
      <c r="AP806" s="25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24"/>
      <c r="AL807" s="25"/>
      <c r="AM807" s="25"/>
      <c r="AN807" s="25"/>
      <c r="AO807" s="25"/>
      <c r="AP807" s="25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32"/>
      <c r="AL808" s="25"/>
      <c r="AM808" s="25"/>
      <c r="AN808" s="25"/>
      <c r="AO808" s="25"/>
      <c r="AP808" s="25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24"/>
      <c r="AL809" s="25"/>
      <c r="AM809" s="25"/>
      <c r="AN809" s="25"/>
      <c r="AO809" s="25"/>
      <c r="AP809" s="25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32"/>
      <c r="AL810" s="25"/>
      <c r="AM810" s="25"/>
      <c r="AN810" s="25"/>
      <c r="AO810" s="25"/>
      <c r="AP810" s="25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24"/>
      <c r="AL811" s="25"/>
      <c r="AM811" s="25"/>
      <c r="AN811" s="25"/>
      <c r="AO811" s="25"/>
      <c r="AP811" s="25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32"/>
      <c r="AL812" s="25"/>
      <c r="AM812" s="25"/>
      <c r="AN812" s="25"/>
      <c r="AO812" s="25"/>
      <c r="AP812" s="25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24"/>
      <c r="AL813" s="25"/>
      <c r="AM813" s="25"/>
      <c r="AN813" s="25"/>
      <c r="AO813" s="25"/>
      <c r="AP813" s="25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32"/>
      <c r="AL814" s="25"/>
      <c r="AM814" s="25"/>
      <c r="AN814" s="25"/>
      <c r="AO814" s="25"/>
      <c r="AP814" s="25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24"/>
      <c r="AL815" s="25"/>
      <c r="AM815" s="25"/>
      <c r="AN815" s="25"/>
      <c r="AO815" s="25"/>
      <c r="AP815" s="25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32"/>
      <c r="AL816" s="25"/>
      <c r="AM816" s="25"/>
      <c r="AN816" s="25"/>
      <c r="AO816" s="25"/>
      <c r="AP816" s="25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24"/>
      <c r="AL817" s="25"/>
      <c r="AM817" s="25"/>
      <c r="AN817" s="25"/>
      <c r="AO817" s="25"/>
      <c r="AP817" s="25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32"/>
      <c r="AL818" s="25"/>
      <c r="AM818" s="25"/>
      <c r="AN818" s="25"/>
      <c r="AO818" s="25"/>
      <c r="AP818" s="25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24"/>
      <c r="AL819" s="25"/>
      <c r="AM819" s="25"/>
      <c r="AN819" s="25"/>
      <c r="AO819" s="25"/>
      <c r="AP819" s="25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32"/>
      <c r="AL820" s="25"/>
      <c r="AM820" s="25"/>
      <c r="AN820" s="25"/>
      <c r="AO820" s="25"/>
      <c r="AP820" s="25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24"/>
      <c r="AL821" s="25"/>
      <c r="AM821" s="25"/>
      <c r="AN821" s="25"/>
      <c r="AO821" s="25"/>
      <c r="AP821" s="25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32"/>
      <c r="AL822" s="25"/>
      <c r="AM822" s="25"/>
      <c r="AN822" s="25"/>
      <c r="AO822" s="25"/>
      <c r="AP822" s="25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24"/>
      <c r="AL823" s="25"/>
      <c r="AM823" s="25"/>
      <c r="AN823" s="25"/>
      <c r="AO823" s="25"/>
      <c r="AP823" s="25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32"/>
      <c r="AL824" s="25"/>
      <c r="AM824" s="25"/>
      <c r="AN824" s="25"/>
      <c r="AO824" s="25"/>
      <c r="AP824" s="25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24"/>
      <c r="AL825" s="25"/>
      <c r="AM825" s="25"/>
      <c r="AN825" s="25"/>
      <c r="AO825" s="25"/>
      <c r="AP825" s="25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32"/>
      <c r="AL826" s="25"/>
      <c r="AM826" s="25"/>
      <c r="AN826" s="25"/>
      <c r="AO826" s="25"/>
      <c r="AP826" s="25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24"/>
      <c r="AL827" s="25"/>
      <c r="AM827" s="25"/>
      <c r="AN827" s="25"/>
      <c r="AO827" s="25"/>
      <c r="AP827" s="25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32"/>
      <c r="AL828" s="25"/>
      <c r="AM828" s="25"/>
      <c r="AN828" s="25"/>
      <c r="AO828" s="25"/>
      <c r="AP828" s="25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24"/>
      <c r="AL829" s="25"/>
      <c r="AM829" s="25"/>
      <c r="AN829" s="25"/>
      <c r="AO829" s="25"/>
      <c r="AP829" s="25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32"/>
      <c r="AL830" s="25"/>
      <c r="AM830" s="25"/>
      <c r="AN830" s="25"/>
      <c r="AO830" s="25"/>
      <c r="AP830" s="25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24"/>
      <c r="AL831" s="25"/>
      <c r="AM831" s="25"/>
      <c r="AN831" s="25"/>
      <c r="AO831" s="25"/>
      <c r="AP831" s="25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32"/>
      <c r="AL832" s="25"/>
      <c r="AM832" s="25"/>
      <c r="AN832" s="25"/>
      <c r="AO832" s="25"/>
      <c r="AP832" s="25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24"/>
      <c r="AL833" s="25"/>
      <c r="AM833" s="25"/>
      <c r="AN833" s="25"/>
      <c r="AO833" s="25"/>
      <c r="AP833" s="25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32"/>
      <c r="AL834" s="25"/>
      <c r="AM834" s="25"/>
      <c r="AN834" s="25"/>
      <c r="AO834" s="25"/>
      <c r="AP834" s="25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24"/>
      <c r="AL835" s="25"/>
      <c r="AM835" s="25"/>
      <c r="AN835" s="25"/>
      <c r="AO835" s="25"/>
      <c r="AP835" s="25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32"/>
      <c r="AL836" s="25"/>
      <c r="AM836" s="25"/>
      <c r="AN836" s="25"/>
      <c r="AO836" s="25"/>
      <c r="AP836" s="25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24"/>
      <c r="AL837" s="25"/>
      <c r="AM837" s="25"/>
      <c r="AN837" s="25"/>
      <c r="AO837" s="25"/>
      <c r="AP837" s="25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32"/>
      <c r="AL838" s="25"/>
      <c r="AM838" s="25"/>
      <c r="AN838" s="25"/>
      <c r="AO838" s="25"/>
      <c r="AP838" s="25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24"/>
      <c r="AL839" s="25"/>
      <c r="AM839" s="25"/>
      <c r="AN839" s="25"/>
      <c r="AO839" s="25"/>
      <c r="AP839" s="25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32"/>
      <c r="AL840" s="25"/>
      <c r="AM840" s="25"/>
      <c r="AN840" s="25"/>
      <c r="AO840" s="25"/>
      <c r="AP840" s="25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24"/>
      <c r="AL841" s="25"/>
      <c r="AM841" s="25"/>
      <c r="AN841" s="25"/>
      <c r="AO841" s="25"/>
      <c r="AP841" s="25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32"/>
      <c r="AL842" s="25"/>
      <c r="AM842" s="25"/>
      <c r="AN842" s="25"/>
      <c r="AO842" s="25"/>
      <c r="AP842" s="25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24"/>
      <c r="AL843" s="25"/>
      <c r="AM843" s="25"/>
      <c r="AN843" s="25"/>
      <c r="AO843" s="25"/>
      <c r="AP843" s="25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32"/>
      <c r="AL844" s="25"/>
      <c r="AM844" s="25"/>
      <c r="AN844" s="25"/>
      <c r="AO844" s="25"/>
      <c r="AP844" s="25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24"/>
      <c r="AL845" s="25"/>
      <c r="AM845" s="25"/>
      <c r="AN845" s="25"/>
      <c r="AO845" s="25"/>
      <c r="AP845" s="25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32"/>
      <c r="AL846" s="25"/>
      <c r="AM846" s="25"/>
      <c r="AN846" s="25"/>
      <c r="AO846" s="25"/>
      <c r="AP846" s="25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24"/>
      <c r="AL847" s="25"/>
      <c r="AM847" s="25"/>
      <c r="AN847" s="25"/>
      <c r="AO847" s="25"/>
      <c r="AP847" s="25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32"/>
      <c r="AL848" s="25"/>
      <c r="AM848" s="25"/>
      <c r="AN848" s="25"/>
      <c r="AO848" s="25"/>
      <c r="AP848" s="25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24"/>
      <c r="AL849" s="25"/>
      <c r="AM849" s="25"/>
      <c r="AN849" s="25"/>
      <c r="AO849" s="25"/>
      <c r="AP849" s="25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32"/>
      <c r="AL850" s="25"/>
      <c r="AM850" s="25"/>
      <c r="AN850" s="25"/>
      <c r="AO850" s="25"/>
      <c r="AP850" s="25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24"/>
      <c r="AL851" s="25"/>
      <c r="AM851" s="25"/>
      <c r="AN851" s="25"/>
      <c r="AO851" s="25"/>
      <c r="AP851" s="25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32"/>
      <c r="AL852" s="25"/>
      <c r="AM852" s="25"/>
      <c r="AN852" s="25"/>
      <c r="AO852" s="25"/>
      <c r="AP852" s="25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24"/>
      <c r="AL853" s="25"/>
      <c r="AM853" s="25"/>
      <c r="AN853" s="25"/>
      <c r="AO853" s="25"/>
      <c r="AP853" s="25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32"/>
      <c r="AL854" s="25"/>
      <c r="AM854" s="25"/>
      <c r="AN854" s="25"/>
      <c r="AO854" s="25"/>
      <c r="AP854" s="25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24"/>
      <c r="AL855" s="25"/>
      <c r="AM855" s="25"/>
      <c r="AN855" s="25"/>
      <c r="AO855" s="25"/>
      <c r="AP855" s="25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32"/>
      <c r="AL856" s="25"/>
      <c r="AM856" s="25"/>
      <c r="AN856" s="25"/>
      <c r="AO856" s="25"/>
      <c r="AP856" s="25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24"/>
      <c r="AL857" s="25"/>
      <c r="AM857" s="25"/>
      <c r="AN857" s="25"/>
      <c r="AO857" s="25"/>
      <c r="AP857" s="25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32"/>
      <c r="AL858" s="25"/>
      <c r="AM858" s="25"/>
      <c r="AN858" s="25"/>
      <c r="AO858" s="25"/>
      <c r="AP858" s="25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24"/>
      <c r="AL859" s="25"/>
      <c r="AM859" s="25"/>
      <c r="AN859" s="25"/>
      <c r="AO859" s="25"/>
      <c r="AP859" s="25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32"/>
      <c r="AL860" s="25"/>
      <c r="AM860" s="25"/>
      <c r="AN860" s="25"/>
      <c r="AO860" s="25"/>
      <c r="AP860" s="25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24"/>
      <c r="AL861" s="25"/>
      <c r="AM861" s="25"/>
      <c r="AN861" s="25"/>
      <c r="AO861" s="25"/>
      <c r="AP861" s="25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32"/>
      <c r="AL862" s="25"/>
      <c r="AM862" s="25"/>
      <c r="AN862" s="25"/>
      <c r="AO862" s="25"/>
      <c r="AP862" s="25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24"/>
      <c r="AL863" s="25"/>
      <c r="AM863" s="25"/>
      <c r="AN863" s="25"/>
      <c r="AO863" s="25"/>
      <c r="AP863" s="25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32"/>
      <c r="AL864" s="25"/>
      <c r="AM864" s="25"/>
      <c r="AN864" s="25"/>
      <c r="AO864" s="25"/>
      <c r="AP864" s="25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24"/>
      <c r="AL865" s="25"/>
      <c r="AM865" s="25"/>
      <c r="AN865" s="25"/>
      <c r="AO865" s="25"/>
      <c r="AP865" s="25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32"/>
      <c r="AL866" s="25"/>
      <c r="AM866" s="25"/>
      <c r="AN866" s="25"/>
      <c r="AO866" s="25"/>
      <c r="AP866" s="25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24"/>
      <c r="AL867" s="25"/>
      <c r="AM867" s="25"/>
      <c r="AN867" s="25"/>
      <c r="AO867" s="25"/>
      <c r="AP867" s="25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32"/>
      <c r="AL868" s="25"/>
      <c r="AM868" s="25"/>
      <c r="AN868" s="25"/>
      <c r="AO868" s="25"/>
      <c r="AP868" s="25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24"/>
      <c r="AL869" s="25"/>
      <c r="AM869" s="25"/>
      <c r="AN869" s="25"/>
      <c r="AO869" s="25"/>
      <c r="AP869" s="25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32"/>
      <c r="AL870" s="25"/>
      <c r="AM870" s="25"/>
      <c r="AN870" s="25"/>
      <c r="AO870" s="25"/>
      <c r="AP870" s="25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24"/>
      <c r="AL871" s="25"/>
      <c r="AM871" s="25"/>
      <c r="AN871" s="25"/>
      <c r="AO871" s="25"/>
      <c r="AP871" s="25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32"/>
      <c r="AL872" s="25"/>
      <c r="AM872" s="25"/>
      <c r="AN872" s="25"/>
      <c r="AO872" s="25"/>
      <c r="AP872" s="25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24"/>
      <c r="AL873" s="25"/>
      <c r="AM873" s="25"/>
      <c r="AN873" s="25"/>
      <c r="AO873" s="25"/>
      <c r="AP873" s="25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32"/>
      <c r="AL874" s="25"/>
      <c r="AM874" s="25"/>
      <c r="AN874" s="25"/>
      <c r="AO874" s="25"/>
      <c r="AP874" s="25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24"/>
      <c r="AL875" s="25"/>
      <c r="AM875" s="25"/>
      <c r="AN875" s="25"/>
      <c r="AO875" s="25"/>
      <c r="AP875" s="25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32"/>
      <c r="AL876" s="25"/>
      <c r="AM876" s="25"/>
      <c r="AN876" s="25"/>
      <c r="AO876" s="25"/>
      <c r="AP876" s="25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24"/>
      <c r="AL877" s="25"/>
      <c r="AM877" s="25"/>
      <c r="AN877" s="25"/>
      <c r="AO877" s="25"/>
      <c r="AP877" s="25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32"/>
      <c r="AL878" s="25"/>
      <c r="AM878" s="25"/>
      <c r="AN878" s="25"/>
      <c r="AO878" s="25"/>
      <c r="AP878" s="25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24"/>
      <c r="AL879" s="25"/>
      <c r="AM879" s="25"/>
      <c r="AN879" s="25"/>
      <c r="AO879" s="25"/>
      <c r="AP879" s="25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32"/>
      <c r="AL880" s="25"/>
      <c r="AM880" s="25"/>
      <c r="AN880" s="25"/>
      <c r="AO880" s="25"/>
      <c r="AP880" s="25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24"/>
      <c r="AL881" s="25"/>
      <c r="AM881" s="25"/>
      <c r="AN881" s="25"/>
      <c r="AO881" s="25"/>
      <c r="AP881" s="25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32"/>
      <c r="AL882" s="25"/>
      <c r="AM882" s="25"/>
      <c r="AN882" s="25"/>
      <c r="AO882" s="25"/>
      <c r="AP882" s="25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24"/>
      <c r="AL883" s="25"/>
      <c r="AM883" s="25"/>
      <c r="AN883" s="25"/>
      <c r="AO883" s="25"/>
      <c r="AP883" s="25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32"/>
      <c r="AL884" s="25"/>
      <c r="AM884" s="25"/>
      <c r="AN884" s="25"/>
      <c r="AO884" s="25"/>
      <c r="AP884" s="25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24"/>
      <c r="AL885" s="25"/>
      <c r="AM885" s="25"/>
      <c r="AN885" s="25"/>
      <c r="AO885" s="25"/>
      <c r="AP885" s="25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32"/>
      <c r="AL886" s="25"/>
      <c r="AM886" s="25"/>
      <c r="AN886" s="25"/>
      <c r="AO886" s="25"/>
      <c r="AP886" s="25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24"/>
      <c r="AL887" s="25"/>
      <c r="AM887" s="25"/>
      <c r="AN887" s="25"/>
      <c r="AO887" s="25"/>
      <c r="AP887" s="25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32"/>
      <c r="AL888" s="25"/>
      <c r="AM888" s="25"/>
      <c r="AN888" s="25"/>
      <c r="AO888" s="25"/>
      <c r="AP888" s="25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24"/>
      <c r="AL889" s="25"/>
      <c r="AM889" s="25"/>
      <c r="AN889" s="25"/>
      <c r="AO889" s="25"/>
      <c r="AP889" s="25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32"/>
      <c r="AL890" s="25"/>
      <c r="AM890" s="25"/>
      <c r="AN890" s="25"/>
      <c r="AO890" s="25"/>
      <c r="AP890" s="25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24"/>
      <c r="AL891" s="25"/>
      <c r="AM891" s="25"/>
      <c r="AN891" s="25"/>
      <c r="AO891" s="25"/>
      <c r="AP891" s="25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32"/>
      <c r="AL892" s="25"/>
      <c r="AM892" s="25"/>
      <c r="AN892" s="25"/>
      <c r="AO892" s="25"/>
      <c r="AP892" s="25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24"/>
      <c r="AL893" s="25"/>
      <c r="AM893" s="25"/>
      <c r="AN893" s="25"/>
      <c r="AO893" s="25"/>
      <c r="AP893" s="25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32"/>
      <c r="AL894" s="25"/>
      <c r="AM894" s="25"/>
      <c r="AN894" s="25"/>
      <c r="AO894" s="25"/>
      <c r="AP894" s="25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24"/>
      <c r="AL895" s="25"/>
      <c r="AM895" s="25"/>
      <c r="AN895" s="25"/>
      <c r="AO895" s="25"/>
      <c r="AP895" s="25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32"/>
      <c r="AL896" s="25"/>
      <c r="AM896" s="25"/>
      <c r="AN896" s="25"/>
      <c r="AO896" s="25"/>
      <c r="AP896" s="25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24"/>
      <c r="AL897" s="25"/>
      <c r="AM897" s="25"/>
      <c r="AN897" s="25"/>
      <c r="AO897" s="25"/>
      <c r="AP897" s="25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32"/>
      <c r="AL898" s="25"/>
      <c r="AM898" s="25"/>
      <c r="AN898" s="25"/>
      <c r="AO898" s="25"/>
      <c r="AP898" s="25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24"/>
      <c r="AL899" s="25"/>
      <c r="AM899" s="25"/>
      <c r="AN899" s="25"/>
      <c r="AO899" s="25"/>
      <c r="AP899" s="25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32"/>
      <c r="AL900" s="25"/>
      <c r="AM900" s="25"/>
      <c r="AN900" s="25"/>
      <c r="AO900" s="25"/>
      <c r="AP900" s="25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24"/>
      <c r="AL901" s="25"/>
      <c r="AM901" s="25"/>
      <c r="AN901" s="25"/>
      <c r="AO901" s="25"/>
      <c r="AP901" s="25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32"/>
      <c r="AL902" s="25"/>
      <c r="AM902" s="25"/>
      <c r="AN902" s="25"/>
      <c r="AO902" s="25"/>
      <c r="AP902" s="25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24"/>
      <c r="AL903" s="25"/>
      <c r="AM903" s="25"/>
      <c r="AN903" s="25"/>
      <c r="AO903" s="25"/>
      <c r="AP903" s="25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32"/>
      <c r="AL904" s="25"/>
      <c r="AM904" s="25"/>
      <c r="AN904" s="25"/>
      <c r="AO904" s="25"/>
      <c r="AP904" s="25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24"/>
      <c r="AL905" s="25"/>
      <c r="AM905" s="25"/>
      <c r="AN905" s="25"/>
      <c r="AO905" s="25"/>
      <c r="AP905" s="25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32"/>
      <c r="AL906" s="25"/>
      <c r="AM906" s="25"/>
      <c r="AN906" s="25"/>
      <c r="AO906" s="25"/>
      <c r="AP906" s="25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24"/>
      <c r="AL907" s="25"/>
      <c r="AM907" s="25"/>
      <c r="AN907" s="25"/>
      <c r="AO907" s="25"/>
      <c r="AP907" s="25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32"/>
      <c r="AL908" s="25"/>
      <c r="AM908" s="25"/>
      <c r="AN908" s="25"/>
      <c r="AO908" s="25"/>
      <c r="AP908" s="25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24"/>
      <c r="AL909" s="25"/>
      <c r="AM909" s="25"/>
      <c r="AN909" s="25"/>
      <c r="AO909" s="25"/>
      <c r="AP909" s="25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32"/>
      <c r="AL910" s="25"/>
      <c r="AM910" s="25"/>
      <c r="AN910" s="25"/>
      <c r="AO910" s="25"/>
      <c r="AP910" s="25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24"/>
      <c r="AL911" s="25"/>
      <c r="AM911" s="25"/>
      <c r="AN911" s="25"/>
      <c r="AO911" s="25"/>
      <c r="AP911" s="25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32"/>
      <c r="AL912" s="25"/>
      <c r="AM912" s="25"/>
      <c r="AN912" s="25"/>
      <c r="AO912" s="25"/>
      <c r="AP912" s="25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24"/>
      <c r="AL913" s="25"/>
      <c r="AM913" s="25"/>
      <c r="AN913" s="25"/>
      <c r="AO913" s="25"/>
      <c r="AP913" s="25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32"/>
      <c r="AL914" s="25"/>
      <c r="AM914" s="25"/>
      <c r="AN914" s="25"/>
      <c r="AO914" s="25"/>
      <c r="AP914" s="25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24"/>
      <c r="AL915" s="25"/>
      <c r="AM915" s="25"/>
      <c r="AN915" s="25"/>
      <c r="AO915" s="25"/>
      <c r="AP915" s="25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32"/>
      <c r="AL916" s="25"/>
      <c r="AM916" s="25"/>
      <c r="AN916" s="25"/>
      <c r="AO916" s="25"/>
      <c r="AP916" s="25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24"/>
      <c r="AL917" s="25"/>
      <c r="AM917" s="25"/>
      <c r="AN917" s="25"/>
      <c r="AO917" s="25"/>
      <c r="AP917" s="25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32"/>
      <c r="AL918" s="25"/>
      <c r="AM918" s="25"/>
      <c r="AN918" s="25"/>
      <c r="AO918" s="25"/>
      <c r="AP918" s="25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24"/>
      <c r="AL919" s="25"/>
      <c r="AM919" s="25"/>
      <c r="AN919" s="25"/>
      <c r="AO919" s="25"/>
      <c r="AP919" s="25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32"/>
      <c r="AL920" s="25"/>
      <c r="AM920" s="25"/>
      <c r="AN920" s="25"/>
      <c r="AO920" s="25"/>
      <c r="AP920" s="25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24"/>
      <c r="AL921" s="25"/>
      <c r="AM921" s="25"/>
      <c r="AN921" s="25"/>
      <c r="AO921" s="25"/>
      <c r="AP921" s="25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32"/>
      <c r="AL922" s="25"/>
      <c r="AM922" s="25"/>
      <c r="AN922" s="25"/>
      <c r="AO922" s="25"/>
      <c r="AP922" s="25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24"/>
      <c r="AL923" s="25"/>
      <c r="AM923" s="25"/>
      <c r="AN923" s="25"/>
      <c r="AO923" s="25"/>
      <c r="AP923" s="25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32"/>
      <c r="AL924" s="25"/>
      <c r="AM924" s="25"/>
      <c r="AN924" s="25"/>
      <c r="AO924" s="25"/>
      <c r="AP924" s="25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24"/>
      <c r="AL925" s="25"/>
      <c r="AM925" s="25"/>
      <c r="AN925" s="25"/>
      <c r="AO925" s="25"/>
      <c r="AP925" s="25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32"/>
      <c r="AL926" s="25"/>
      <c r="AM926" s="25"/>
      <c r="AN926" s="25"/>
      <c r="AO926" s="25"/>
      <c r="AP926" s="25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24"/>
      <c r="AL927" s="25"/>
      <c r="AM927" s="25"/>
      <c r="AN927" s="25"/>
      <c r="AO927" s="25"/>
      <c r="AP927" s="25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32"/>
      <c r="AL928" s="25"/>
      <c r="AM928" s="25"/>
      <c r="AN928" s="25"/>
      <c r="AO928" s="25"/>
      <c r="AP928" s="25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24"/>
      <c r="AL929" s="25"/>
      <c r="AM929" s="25"/>
      <c r="AN929" s="25"/>
      <c r="AO929" s="25"/>
      <c r="AP929" s="25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32"/>
      <c r="AL930" s="25"/>
      <c r="AM930" s="25"/>
      <c r="AN930" s="25"/>
      <c r="AO930" s="25"/>
      <c r="AP930" s="25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24"/>
      <c r="AL931" s="25"/>
      <c r="AM931" s="25"/>
      <c r="AN931" s="25"/>
      <c r="AO931" s="25"/>
      <c r="AP931" s="25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32"/>
      <c r="AL932" s="25"/>
      <c r="AM932" s="25"/>
      <c r="AN932" s="25"/>
      <c r="AO932" s="25"/>
      <c r="AP932" s="25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24"/>
      <c r="AL933" s="25"/>
      <c r="AM933" s="25"/>
      <c r="AN933" s="25"/>
      <c r="AO933" s="25"/>
      <c r="AP933" s="25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32"/>
      <c r="AL934" s="25"/>
      <c r="AM934" s="25"/>
      <c r="AN934" s="25"/>
      <c r="AO934" s="25"/>
      <c r="AP934" s="25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24"/>
      <c r="AL935" s="25"/>
      <c r="AM935" s="25"/>
      <c r="AN935" s="25"/>
      <c r="AO935" s="25"/>
      <c r="AP935" s="25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32"/>
      <c r="AL936" s="25"/>
      <c r="AM936" s="25"/>
      <c r="AN936" s="25"/>
      <c r="AO936" s="25"/>
      <c r="AP936" s="25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24"/>
      <c r="AL937" s="25"/>
      <c r="AM937" s="25"/>
      <c r="AN937" s="25"/>
      <c r="AO937" s="25"/>
      <c r="AP937" s="25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32"/>
      <c r="AL938" s="25"/>
      <c r="AM938" s="25"/>
      <c r="AN938" s="25"/>
      <c r="AO938" s="25"/>
      <c r="AP938" s="25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24"/>
      <c r="AL939" s="25"/>
      <c r="AM939" s="25"/>
      <c r="AN939" s="25"/>
      <c r="AO939" s="25"/>
      <c r="AP939" s="25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32"/>
      <c r="AL940" s="25"/>
      <c r="AM940" s="25"/>
      <c r="AN940" s="25"/>
      <c r="AO940" s="25"/>
      <c r="AP940" s="25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24"/>
      <c r="AL941" s="25"/>
      <c r="AM941" s="25"/>
      <c r="AN941" s="25"/>
      <c r="AO941" s="25"/>
      <c r="AP941" s="25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32"/>
      <c r="AL942" s="25"/>
      <c r="AM942" s="25"/>
      <c r="AN942" s="25"/>
      <c r="AO942" s="25"/>
      <c r="AP942" s="25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24"/>
      <c r="AL943" s="25"/>
      <c r="AM943" s="25"/>
      <c r="AN943" s="25"/>
      <c r="AO943" s="25"/>
      <c r="AP943" s="25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32"/>
      <c r="AL944" s="25"/>
      <c r="AM944" s="25"/>
      <c r="AN944" s="25"/>
      <c r="AO944" s="25"/>
      <c r="AP944" s="25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24"/>
      <c r="AL945" s="25"/>
      <c r="AM945" s="25"/>
      <c r="AN945" s="25"/>
      <c r="AO945" s="25"/>
      <c r="AP945" s="25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32"/>
      <c r="AL946" s="25"/>
      <c r="AM946" s="25"/>
      <c r="AN946" s="25"/>
      <c r="AO946" s="25"/>
      <c r="AP946" s="25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24"/>
      <c r="AL947" s="25"/>
      <c r="AM947" s="25"/>
      <c r="AN947" s="25"/>
      <c r="AO947" s="25"/>
      <c r="AP947" s="25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32"/>
      <c r="AL948" s="25"/>
      <c r="AM948" s="25"/>
      <c r="AN948" s="25"/>
      <c r="AO948" s="25"/>
      <c r="AP948" s="25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24"/>
      <c r="AL949" s="25"/>
      <c r="AM949" s="25"/>
      <c r="AN949" s="25"/>
      <c r="AO949" s="25"/>
      <c r="AP949" s="25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32"/>
      <c r="AL950" s="25"/>
      <c r="AM950" s="25"/>
      <c r="AN950" s="25"/>
      <c r="AO950" s="25"/>
      <c r="AP950" s="25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24"/>
      <c r="AL951" s="25"/>
      <c r="AM951" s="25"/>
      <c r="AN951" s="25"/>
      <c r="AO951" s="25"/>
      <c r="AP951" s="25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32"/>
      <c r="AL952" s="25"/>
      <c r="AM952" s="25"/>
      <c r="AN952" s="25"/>
      <c r="AO952" s="25"/>
      <c r="AP952" s="25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24"/>
      <c r="AL953" s="25"/>
      <c r="AM953" s="25"/>
      <c r="AN953" s="25"/>
      <c r="AO953" s="25"/>
      <c r="AP953" s="25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32"/>
      <c r="AL954" s="25"/>
      <c r="AM954" s="25"/>
      <c r="AN954" s="25"/>
      <c r="AO954" s="25"/>
      <c r="AP954" s="25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24"/>
      <c r="AL955" s="25"/>
      <c r="AM955" s="25"/>
      <c r="AN955" s="25"/>
      <c r="AO955" s="25"/>
      <c r="AP955" s="25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32"/>
      <c r="AL956" s="25"/>
      <c r="AM956" s="25"/>
      <c r="AN956" s="25"/>
      <c r="AO956" s="25"/>
      <c r="AP956" s="25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24"/>
      <c r="AL957" s="25"/>
      <c r="AM957" s="25"/>
      <c r="AN957" s="25"/>
      <c r="AO957" s="25"/>
      <c r="AP957" s="25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32"/>
      <c r="AL958" s="25"/>
      <c r="AM958" s="25"/>
      <c r="AN958" s="25"/>
      <c r="AO958" s="25"/>
      <c r="AP958" s="25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24"/>
      <c r="AL959" s="25"/>
      <c r="AM959" s="25"/>
      <c r="AN959" s="25"/>
      <c r="AO959" s="25"/>
      <c r="AP959" s="25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32"/>
      <c r="AL960" s="25"/>
      <c r="AM960" s="25"/>
      <c r="AN960" s="25"/>
      <c r="AO960" s="25"/>
      <c r="AP960" s="25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24"/>
      <c r="AL961" s="25"/>
      <c r="AM961" s="25"/>
      <c r="AN961" s="25"/>
      <c r="AO961" s="25"/>
      <c r="AP961" s="25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32"/>
      <c r="AL962" s="25"/>
      <c r="AM962" s="25"/>
      <c r="AN962" s="25"/>
      <c r="AO962" s="25"/>
      <c r="AP962" s="25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24"/>
      <c r="AL963" s="25"/>
      <c r="AM963" s="25"/>
      <c r="AN963" s="25"/>
      <c r="AO963" s="25"/>
      <c r="AP963" s="25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32"/>
      <c r="AL964" s="25"/>
      <c r="AM964" s="25"/>
      <c r="AN964" s="25"/>
      <c r="AO964" s="25"/>
      <c r="AP964" s="25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24"/>
      <c r="AL965" s="25"/>
      <c r="AM965" s="25"/>
      <c r="AN965" s="25"/>
      <c r="AO965" s="25"/>
      <c r="AP965" s="25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32"/>
      <c r="AL966" s="25"/>
      <c r="AM966" s="25"/>
      <c r="AN966" s="25"/>
      <c r="AO966" s="25"/>
      <c r="AP966" s="25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24"/>
      <c r="AL967" s="25"/>
      <c r="AM967" s="25"/>
      <c r="AN967" s="25"/>
      <c r="AO967" s="25"/>
      <c r="AP967" s="25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32"/>
      <c r="AL968" s="25"/>
      <c r="AM968" s="25"/>
      <c r="AN968" s="25"/>
      <c r="AO968" s="25"/>
      <c r="AP968" s="25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24"/>
      <c r="AL969" s="25"/>
      <c r="AM969" s="25"/>
      <c r="AN969" s="25"/>
      <c r="AO969" s="25"/>
      <c r="AP969" s="25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32"/>
      <c r="AL970" s="25"/>
      <c r="AM970" s="25"/>
      <c r="AN970" s="25"/>
      <c r="AO970" s="25"/>
      <c r="AP970" s="25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24"/>
      <c r="AL971" s="25"/>
      <c r="AM971" s="25"/>
      <c r="AN971" s="25"/>
      <c r="AO971" s="25"/>
      <c r="AP971" s="25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32"/>
      <c r="AL972" s="25"/>
      <c r="AM972" s="25"/>
      <c r="AN972" s="25"/>
      <c r="AO972" s="25"/>
      <c r="AP972" s="25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24"/>
      <c r="AL973" s="25"/>
      <c r="AM973" s="25"/>
      <c r="AN973" s="25"/>
      <c r="AO973" s="25"/>
      <c r="AP973" s="25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32"/>
      <c r="AL974" s="25"/>
      <c r="AM974" s="25"/>
      <c r="AN974" s="25"/>
      <c r="AO974" s="25"/>
      <c r="AP974" s="25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24"/>
      <c r="AL975" s="25"/>
      <c r="AM975" s="25"/>
      <c r="AN975" s="25"/>
      <c r="AO975" s="25"/>
      <c r="AP975" s="25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32"/>
      <c r="AL976" s="25"/>
      <c r="AM976" s="25"/>
      <c r="AN976" s="25"/>
      <c r="AO976" s="25"/>
      <c r="AP976" s="25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24"/>
      <c r="AL977" s="25"/>
      <c r="AM977" s="25"/>
      <c r="AN977" s="25"/>
      <c r="AO977" s="25"/>
      <c r="AP977" s="25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32"/>
      <c r="AL978" s="25"/>
      <c r="AM978" s="25"/>
      <c r="AN978" s="25"/>
      <c r="AO978" s="25"/>
      <c r="AP978" s="25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24"/>
      <c r="AL979" s="25"/>
      <c r="AM979" s="25"/>
      <c r="AN979" s="25"/>
      <c r="AO979" s="25"/>
      <c r="AP979" s="25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32"/>
      <c r="AL980" s="25"/>
      <c r="AM980" s="25"/>
      <c r="AN980" s="25"/>
      <c r="AO980" s="25"/>
      <c r="AP980" s="25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24"/>
      <c r="AL981" s="25"/>
      <c r="AM981" s="25"/>
      <c r="AN981" s="25"/>
      <c r="AO981" s="25"/>
      <c r="AP981" s="25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32"/>
      <c r="AL982" s="25"/>
      <c r="AM982" s="25"/>
      <c r="AN982" s="25"/>
      <c r="AO982" s="25"/>
      <c r="AP982" s="25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24"/>
      <c r="AL983" s="25"/>
      <c r="AM983" s="25"/>
      <c r="AN983" s="25"/>
      <c r="AO983" s="25"/>
      <c r="AP983" s="25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32"/>
      <c r="AL984" s="25"/>
      <c r="AM984" s="25"/>
      <c r="AN984" s="25"/>
      <c r="AO984" s="25"/>
      <c r="AP984" s="25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24"/>
      <c r="AL985" s="25"/>
      <c r="AM985" s="25"/>
      <c r="AN985" s="25"/>
      <c r="AO985" s="25"/>
      <c r="AP985" s="25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32"/>
      <c r="AL986" s="25"/>
      <c r="AM986" s="25"/>
      <c r="AN986" s="25"/>
      <c r="AO986" s="25"/>
      <c r="AP986" s="25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24"/>
      <c r="AL987" s="25"/>
      <c r="AM987" s="25"/>
      <c r="AN987" s="25"/>
      <c r="AO987" s="25"/>
      <c r="AP987" s="25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32"/>
      <c r="AL988" s="25"/>
      <c r="AM988" s="25"/>
      <c r="AN988" s="25"/>
      <c r="AO988" s="25"/>
      <c r="AP988" s="25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24"/>
      <c r="AL989" s="25"/>
      <c r="AM989" s="25"/>
      <c r="AN989" s="25"/>
      <c r="AO989" s="25"/>
      <c r="AP989" s="25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32"/>
      <c r="AL990" s="25"/>
      <c r="AM990" s="25"/>
      <c r="AN990" s="25"/>
      <c r="AO990" s="25"/>
      <c r="AP990" s="25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24"/>
      <c r="AL991" s="25"/>
      <c r="AM991" s="25"/>
      <c r="AN991" s="25"/>
      <c r="AO991" s="25"/>
      <c r="AP991" s="25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32"/>
      <c r="AL992" s="25"/>
      <c r="AM992" s="25"/>
      <c r="AN992" s="25"/>
      <c r="AO992" s="25"/>
      <c r="AP992" s="25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24"/>
      <c r="AL993" s="25"/>
      <c r="AM993" s="25"/>
      <c r="AN993" s="25"/>
      <c r="AO993" s="25"/>
      <c r="AP993" s="25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32"/>
      <c r="AL994" s="25"/>
      <c r="AM994" s="25"/>
      <c r="AN994" s="25"/>
      <c r="AO994" s="25"/>
      <c r="AP994" s="25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24"/>
      <c r="AL995" s="25"/>
      <c r="AM995" s="25"/>
      <c r="AN995" s="25"/>
      <c r="AO995" s="25"/>
      <c r="AP995" s="25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32"/>
      <c r="AL996" s="25"/>
      <c r="AM996" s="25"/>
      <c r="AN996" s="25"/>
      <c r="AO996" s="25"/>
      <c r="AP996" s="25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24"/>
      <c r="AL997" s="25"/>
      <c r="AM997" s="25"/>
      <c r="AN997" s="25"/>
      <c r="AO997" s="25"/>
      <c r="AP997" s="25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32"/>
      <c r="AL998" s="25"/>
      <c r="AM998" s="25"/>
      <c r="AN998" s="25"/>
      <c r="AO998" s="25"/>
      <c r="AP998" s="25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24"/>
      <c r="AL999" s="25"/>
      <c r="AM999" s="25"/>
      <c r="AN999" s="25"/>
      <c r="AO999" s="25"/>
      <c r="AP999" s="25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32"/>
      <c r="AL1000" s="25"/>
      <c r="AM1000" s="25"/>
      <c r="AN1000" s="25"/>
      <c r="AO1000" s="25"/>
      <c r="AP1000" s="25"/>
    </row>
    <row r="1001" ht="15.75" customHeight="1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24"/>
      <c r="AL1001" s="25"/>
      <c r="AM1001" s="25"/>
      <c r="AN1001" s="25"/>
      <c r="AO1001" s="25"/>
      <c r="AP1001" s="25"/>
    </row>
    <row r="1002" ht="15.75" customHeight="1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32"/>
      <c r="AL1002" s="25"/>
      <c r="AM1002" s="25"/>
      <c r="AN1002" s="25"/>
      <c r="AO1002" s="25"/>
      <c r="AP1002" s="25"/>
    </row>
    <row r="1003" ht="15.75" customHeight="1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24"/>
      <c r="AL1003" s="25"/>
      <c r="AM1003" s="25"/>
      <c r="AN1003" s="25"/>
      <c r="AO1003" s="25"/>
      <c r="AP1003" s="25"/>
    </row>
    <row r="1004" ht="15.75" customHeight="1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32"/>
      <c r="AL1004" s="25"/>
      <c r="AM1004" s="25"/>
      <c r="AN1004" s="25"/>
      <c r="AO1004" s="25"/>
      <c r="AP1004" s="25"/>
    </row>
    <row r="1005" ht="15.75" customHeight="1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24"/>
      <c r="AL1005" s="25"/>
      <c r="AM1005" s="25"/>
      <c r="AN1005" s="25"/>
      <c r="AO1005" s="25"/>
      <c r="AP1005" s="25"/>
    </row>
    <row r="1006" ht="15.75" customHeight="1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32"/>
      <c r="AL1006" s="25"/>
      <c r="AM1006" s="25"/>
      <c r="AN1006" s="25"/>
      <c r="AO1006" s="25"/>
      <c r="AP1006" s="25"/>
    </row>
    <row r="1007" ht="15.75" customHeight="1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24"/>
      <c r="AL1007" s="25"/>
      <c r="AM1007" s="25"/>
      <c r="AN1007" s="25"/>
      <c r="AO1007" s="25"/>
      <c r="AP1007" s="25"/>
    </row>
    <row r="1008" ht="15.75" customHeight="1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32"/>
      <c r="AL1008" s="25"/>
      <c r="AM1008" s="25"/>
      <c r="AN1008" s="25"/>
      <c r="AO1008" s="25"/>
      <c r="AP1008" s="25"/>
    </row>
    <row r="1009" ht="15.75" customHeight="1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24"/>
      <c r="AL1009" s="25"/>
      <c r="AM1009" s="25"/>
      <c r="AN1009" s="25"/>
      <c r="AO1009" s="25"/>
      <c r="AP1009" s="25"/>
    </row>
    <row r="1010" ht="15.75" customHeight="1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32"/>
      <c r="AL1010" s="25"/>
      <c r="AM1010" s="25"/>
      <c r="AN1010" s="25"/>
      <c r="AO1010" s="25"/>
      <c r="AP1010" s="25"/>
    </row>
    <row r="1011" ht="15.75" customHeight="1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24"/>
      <c r="AL1011" s="25"/>
      <c r="AM1011" s="25"/>
      <c r="AN1011" s="25"/>
      <c r="AO1011" s="25"/>
      <c r="AP1011" s="25"/>
    </row>
    <row r="1012" ht="15.75" customHeight="1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32"/>
      <c r="AL1012" s="25"/>
      <c r="AM1012" s="25"/>
      <c r="AN1012" s="25"/>
      <c r="AO1012" s="25"/>
      <c r="AP1012" s="25"/>
    </row>
    <row r="1013" ht="15.75" customHeight="1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  <c r="AC1013" s="16"/>
      <c r="AD1013" s="16"/>
      <c r="AE1013" s="16"/>
      <c r="AF1013" s="16"/>
      <c r="AG1013" s="16"/>
      <c r="AH1013" s="16"/>
      <c r="AI1013" s="16"/>
      <c r="AJ1013" s="16"/>
      <c r="AK1013" s="24"/>
      <c r="AL1013" s="25"/>
      <c r="AM1013" s="25"/>
      <c r="AN1013" s="25"/>
      <c r="AO1013" s="25"/>
      <c r="AP1013" s="25"/>
    </row>
    <row r="1014" ht="15.75" customHeight="1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32"/>
      <c r="AL1014" s="25"/>
      <c r="AM1014" s="25"/>
      <c r="AN1014" s="25"/>
      <c r="AO1014" s="25"/>
      <c r="AP1014" s="25"/>
    </row>
    <row r="1015" ht="15.75" customHeight="1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  <c r="AC1015" s="16"/>
      <c r="AD1015" s="16"/>
      <c r="AE1015" s="16"/>
      <c r="AF1015" s="16"/>
      <c r="AG1015" s="16"/>
      <c r="AH1015" s="16"/>
      <c r="AI1015" s="16"/>
      <c r="AJ1015" s="16"/>
      <c r="AK1015" s="24"/>
      <c r="AL1015" s="25"/>
      <c r="AM1015" s="25"/>
      <c r="AN1015" s="25"/>
      <c r="AO1015" s="25"/>
      <c r="AP1015" s="25"/>
    </row>
    <row r="1016" ht="15.75" customHeight="1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32"/>
      <c r="AL1016" s="25"/>
      <c r="AM1016" s="25"/>
      <c r="AN1016" s="25"/>
      <c r="AO1016" s="25"/>
      <c r="AP1016" s="25"/>
    </row>
    <row r="1017" ht="15.75" customHeight="1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  <c r="AB1017" s="16"/>
      <c r="AC1017" s="16"/>
      <c r="AD1017" s="16"/>
      <c r="AE1017" s="16"/>
      <c r="AF1017" s="16"/>
      <c r="AG1017" s="16"/>
      <c r="AH1017" s="16"/>
      <c r="AI1017" s="16"/>
      <c r="AJ1017" s="16"/>
      <c r="AK1017" s="24"/>
      <c r="AL1017" s="25"/>
      <c r="AM1017" s="25"/>
      <c r="AN1017" s="25"/>
      <c r="AO1017" s="25"/>
      <c r="AP1017" s="25"/>
    </row>
    <row r="1018" ht="15.75" customHeight="1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32"/>
      <c r="AL1018" s="25"/>
      <c r="AM1018" s="25"/>
      <c r="AN1018" s="25"/>
      <c r="AO1018" s="25"/>
      <c r="AP1018" s="25"/>
    </row>
    <row r="1019" ht="15.75" customHeight="1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  <c r="AC1019" s="16"/>
      <c r="AD1019" s="16"/>
      <c r="AE1019" s="16"/>
      <c r="AF1019" s="16"/>
      <c r="AG1019" s="16"/>
      <c r="AH1019" s="16"/>
      <c r="AI1019" s="16"/>
      <c r="AJ1019" s="16"/>
      <c r="AK1019" s="24"/>
      <c r="AL1019" s="25"/>
      <c r="AM1019" s="25"/>
      <c r="AN1019" s="25"/>
      <c r="AO1019" s="25"/>
      <c r="AP1019" s="25"/>
    </row>
    <row r="1020" ht="15.75" customHeight="1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32"/>
      <c r="AL1020" s="25"/>
      <c r="AM1020" s="25"/>
      <c r="AN1020" s="25"/>
      <c r="AO1020" s="25"/>
      <c r="AP1020" s="25"/>
    </row>
    <row r="1021" ht="15.75" customHeight="1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16"/>
      <c r="AG1021" s="16"/>
      <c r="AH1021" s="16"/>
      <c r="AI1021" s="16"/>
      <c r="AJ1021" s="16"/>
      <c r="AK1021" s="24"/>
      <c r="AL1021" s="25"/>
      <c r="AM1021" s="25"/>
      <c r="AN1021" s="25"/>
      <c r="AO1021" s="25"/>
      <c r="AP1021" s="25"/>
    </row>
    <row r="1022" ht="15.75" customHeight="1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32"/>
      <c r="AL1022" s="25"/>
      <c r="AM1022" s="25"/>
      <c r="AN1022" s="25"/>
      <c r="AO1022" s="25"/>
      <c r="AP1022" s="25"/>
    </row>
    <row r="1023" ht="15.75" customHeight="1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16"/>
      <c r="AG1023" s="16"/>
      <c r="AH1023" s="16"/>
      <c r="AI1023" s="16"/>
      <c r="AJ1023" s="16"/>
      <c r="AK1023" s="24"/>
      <c r="AL1023" s="25"/>
      <c r="AM1023" s="25"/>
      <c r="AN1023" s="25"/>
      <c r="AO1023" s="25"/>
      <c r="AP1023" s="25"/>
    </row>
    <row r="1024" ht="15.75" customHeight="1">
      <c r="A1024" s="26"/>
      <c r="B1024" s="26"/>
      <c r="C1024" s="26"/>
      <c r="D1024" s="26"/>
      <c r="E1024" s="26"/>
      <c r="F1024" s="26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32"/>
      <c r="AL1024" s="25"/>
      <c r="AM1024" s="25"/>
      <c r="AN1024" s="25"/>
      <c r="AO1024" s="25"/>
      <c r="AP1024" s="25"/>
    </row>
    <row r="1025" ht="15.75" customHeight="1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  <c r="AC1025" s="16"/>
      <c r="AD1025" s="16"/>
      <c r="AE1025" s="16"/>
      <c r="AF1025" s="16"/>
      <c r="AG1025" s="16"/>
      <c r="AH1025" s="16"/>
      <c r="AI1025" s="16"/>
      <c r="AJ1025" s="16"/>
      <c r="AK1025" s="24"/>
      <c r="AL1025" s="25"/>
      <c r="AM1025" s="25"/>
      <c r="AN1025" s="25"/>
      <c r="AO1025" s="25"/>
      <c r="AP1025" s="25"/>
    </row>
    <row r="1026" ht="15.75" customHeight="1">
      <c r="A1026" s="26"/>
      <c r="B1026" s="26"/>
      <c r="C1026" s="26"/>
      <c r="D1026" s="26"/>
      <c r="E1026" s="26"/>
      <c r="F1026" s="26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32"/>
      <c r="AL1026" s="25"/>
      <c r="AM1026" s="25"/>
      <c r="AN1026" s="25"/>
      <c r="AO1026" s="25"/>
      <c r="AP1026" s="25"/>
    </row>
    <row r="1027" ht="15.75" customHeight="1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16"/>
      <c r="AG1027" s="16"/>
      <c r="AH1027" s="16"/>
      <c r="AI1027" s="16"/>
      <c r="AJ1027" s="16"/>
      <c r="AK1027" s="24"/>
      <c r="AL1027" s="25"/>
      <c r="AM1027" s="25"/>
      <c r="AN1027" s="25"/>
      <c r="AO1027" s="25"/>
      <c r="AP1027" s="25"/>
    </row>
    <row r="1028" ht="15.75" customHeight="1">
      <c r="A1028" s="26"/>
      <c r="B1028" s="26"/>
      <c r="C1028" s="26"/>
      <c r="D1028" s="26"/>
      <c r="E1028" s="26"/>
      <c r="F1028" s="26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32"/>
      <c r="AL1028" s="25"/>
      <c r="AM1028" s="25"/>
      <c r="AN1028" s="25"/>
      <c r="AO1028" s="25"/>
      <c r="AP1028" s="25"/>
    </row>
    <row r="1029" ht="15.75" customHeight="1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  <c r="AC1029" s="16"/>
      <c r="AD1029" s="16"/>
      <c r="AE1029" s="16"/>
      <c r="AF1029" s="16"/>
      <c r="AG1029" s="16"/>
      <c r="AH1029" s="16"/>
      <c r="AI1029" s="16"/>
      <c r="AJ1029" s="16"/>
      <c r="AK1029" s="24"/>
      <c r="AL1029" s="25"/>
      <c r="AM1029" s="25"/>
      <c r="AN1029" s="25"/>
      <c r="AO1029" s="25"/>
      <c r="AP1029" s="25"/>
    </row>
    <row r="1030" ht="15.75" customHeight="1">
      <c r="A1030" s="26"/>
      <c r="B1030" s="26"/>
      <c r="C1030" s="26"/>
      <c r="D1030" s="26"/>
      <c r="E1030" s="26"/>
      <c r="F1030" s="26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32"/>
      <c r="AL1030" s="25"/>
      <c r="AM1030" s="25"/>
      <c r="AN1030" s="25"/>
      <c r="AO1030" s="25"/>
      <c r="AP1030" s="25"/>
    </row>
    <row r="1031" ht="15.75" customHeight="1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  <c r="AC1031" s="16"/>
      <c r="AD1031" s="16"/>
      <c r="AE1031" s="16"/>
      <c r="AF1031" s="16"/>
      <c r="AG1031" s="16"/>
      <c r="AH1031" s="16"/>
      <c r="AI1031" s="16"/>
      <c r="AJ1031" s="16"/>
      <c r="AK1031" s="24"/>
      <c r="AL1031" s="25"/>
      <c r="AM1031" s="25"/>
      <c r="AN1031" s="25"/>
      <c r="AO1031" s="25"/>
      <c r="AP1031" s="25"/>
    </row>
    <row r="1032" ht="15.75" customHeight="1">
      <c r="A1032" s="26"/>
      <c r="B1032" s="26"/>
      <c r="C1032" s="26"/>
      <c r="D1032" s="26"/>
      <c r="E1032" s="26"/>
      <c r="F1032" s="26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32"/>
      <c r="AL1032" s="25"/>
      <c r="AM1032" s="25"/>
      <c r="AN1032" s="25"/>
      <c r="AO1032" s="25"/>
      <c r="AP1032" s="25"/>
    </row>
    <row r="1033" ht="15.75" customHeight="1">
      <c r="A1033" s="16"/>
      <c r="B1033" s="16"/>
      <c r="C1033" s="16"/>
      <c r="D1033" s="16"/>
      <c r="E1033" s="16"/>
      <c r="F1033" s="16"/>
      <c r="G1033" s="16"/>
      <c r="H1033" s="16"/>
      <c r="I1033" s="16"/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  <c r="AB1033" s="16"/>
      <c r="AC1033" s="16"/>
      <c r="AD1033" s="16"/>
      <c r="AE1033" s="16"/>
      <c r="AF1033" s="16"/>
      <c r="AG1033" s="16"/>
      <c r="AH1033" s="16"/>
      <c r="AI1033" s="16"/>
      <c r="AJ1033" s="16"/>
      <c r="AK1033" s="24"/>
      <c r="AL1033" s="25"/>
      <c r="AM1033" s="25"/>
      <c r="AN1033" s="25"/>
      <c r="AO1033" s="25"/>
      <c r="AP1033" s="25"/>
    </row>
    <row r="1034" ht="15.75" customHeight="1">
      <c r="A1034" s="26"/>
      <c r="B1034" s="26"/>
      <c r="C1034" s="26"/>
      <c r="D1034" s="26"/>
      <c r="E1034" s="26"/>
      <c r="F1034" s="26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32"/>
      <c r="AL1034" s="25"/>
      <c r="AM1034" s="25"/>
      <c r="AN1034" s="25"/>
      <c r="AO1034" s="25"/>
      <c r="AP1034" s="25"/>
    </row>
    <row r="1035" ht="15.75" customHeight="1">
      <c r="A1035" s="16"/>
      <c r="B1035" s="16"/>
      <c r="C1035" s="16"/>
      <c r="D1035" s="16"/>
      <c r="E1035" s="16"/>
      <c r="F1035" s="16"/>
      <c r="G1035" s="16"/>
      <c r="H1035" s="16"/>
      <c r="I1035" s="16"/>
      <c r="J1035" s="16"/>
      <c r="K1035" s="16"/>
      <c r="L1035" s="16"/>
      <c r="M1035" s="16"/>
      <c r="N1035" s="16"/>
      <c r="O1035" s="16"/>
      <c r="P1035" s="16"/>
      <c r="Q1035" s="16"/>
      <c r="R1035" s="16"/>
      <c r="S1035" s="16"/>
      <c r="T1035" s="16"/>
      <c r="U1035" s="16"/>
      <c r="V1035" s="16"/>
      <c r="W1035" s="16"/>
      <c r="X1035" s="16"/>
      <c r="Y1035" s="16"/>
      <c r="Z1035" s="16"/>
      <c r="AA1035" s="16"/>
      <c r="AB1035" s="16"/>
      <c r="AC1035" s="16"/>
      <c r="AD1035" s="16"/>
      <c r="AE1035" s="16"/>
      <c r="AF1035" s="16"/>
      <c r="AG1035" s="16"/>
      <c r="AH1035" s="16"/>
      <c r="AI1035" s="16"/>
      <c r="AJ1035" s="16"/>
      <c r="AK1035" s="24"/>
      <c r="AL1035" s="25"/>
      <c r="AM1035" s="25"/>
      <c r="AN1035" s="25"/>
      <c r="AO1035" s="25"/>
      <c r="AP1035" s="25"/>
    </row>
    <row r="1036" ht="15.75" customHeight="1">
      <c r="A1036" s="26"/>
      <c r="B1036" s="26"/>
      <c r="C1036" s="26"/>
      <c r="D1036" s="26"/>
      <c r="E1036" s="26"/>
      <c r="F1036" s="26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32"/>
      <c r="AL1036" s="25"/>
      <c r="AM1036" s="25"/>
      <c r="AN1036" s="25"/>
      <c r="AO1036" s="25"/>
      <c r="AP1036" s="25"/>
    </row>
    <row r="1037" ht="15.75" customHeight="1">
      <c r="A1037" s="16"/>
      <c r="B1037" s="16"/>
      <c r="C1037" s="16"/>
      <c r="D1037" s="16"/>
      <c r="E1037" s="16"/>
      <c r="F1037" s="16"/>
      <c r="G1037" s="16"/>
      <c r="H1037" s="16"/>
      <c r="I1037" s="16"/>
      <c r="J1037" s="16"/>
      <c r="K1037" s="16"/>
      <c r="L1037" s="16"/>
      <c r="M1037" s="16"/>
      <c r="N1037" s="16"/>
      <c r="O1037" s="16"/>
      <c r="P1037" s="16"/>
      <c r="Q1037" s="16"/>
      <c r="R1037" s="16"/>
      <c r="S1037" s="16"/>
      <c r="T1037" s="16"/>
      <c r="U1037" s="16"/>
      <c r="V1037" s="16"/>
      <c r="W1037" s="16"/>
      <c r="X1037" s="16"/>
      <c r="Y1037" s="16"/>
      <c r="Z1037" s="16"/>
      <c r="AA1037" s="16"/>
      <c r="AB1037" s="16"/>
      <c r="AC1037" s="16"/>
      <c r="AD1037" s="16"/>
      <c r="AE1037" s="16"/>
      <c r="AF1037" s="16"/>
      <c r="AG1037" s="16"/>
      <c r="AH1037" s="16"/>
      <c r="AI1037" s="16"/>
      <c r="AJ1037" s="16"/>
      <c r="AK1037" s="24"/>
      <c r="AL1037" s="25"/>
      <c r="AM1037" s="25"/>
      <c r="AN1037" s="25"/>
      <c r="AO1037" s="25"/>
      <c r="AP1037" s="25"/>
    </row>
    <row r="1038" ht="15.75" customHeight="1">
      <c r="A1038" s="26"/>
      <c r="B1038" s="26"/>
      <c r="C1038" s="26"/>
      <c r="D1038" s="26"/>
      <c r="E1038" s="26"/>
      <c r="F1038" s="26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32"/>
      <c r="AL1038" s="25"/>
      <c r="AM1038" s="25"/>
      <c r="AN1038" s="25"/>
      <c r="AO1038" s="25"/>
      <c r="AP1038" s="25"/>
    </row>
    <row r="1039" ht="15.75" customHeight="1">
      <c r="A1039" s="16"/>
      <c r="B1039" s="16"/>
      <c r="C1039" s="16"/>
      <c r="D1039" s="16"/>
      <c r="E1039" s="16"/>
      <c r="F1039" s="16"/>
      <c r="G1039" s="16"/>
      <c r="H1039" s="16"/>
      <c r="I1039" s="16"/>
      <c r="J1039" s="16"/>
      <c r="K1039" s="16"/>
      <c r="L1039" s="16"/>
      <c r="M1039" s="16"/>
      <c r="N1039" s="16"/>
      <c r="O1039" s="16"/>
      <c r="P1039" s="16"/>
      <c r="Q1039" s="16"/>
      <c r="R1039" s="16"/>
      <c r="S1039" s="16"/>
      <c r="T1039" s="16"/>
      <c r="U1039" s="16"/>
      <c r="V1039" s="16"/>
      <c r="W1039" s="16"/>
      <c r="X1039" s="16"/>
      <c r="Y1039" s="16"/>
      <c r="Z1039" s="16"/>
      <c r="AA1039" s="16"/>
      <c r="AB1039" s="16"/>
      <c r="AC1039" s="16"/>
      <c r="AD1039" s="16"/>
      <c r="AE1039" s="16"/>
      <c r="AF1039" s="16"/>
      <c r="AG1039" s="16"/>
      <c r="AH1039" s="16"/>
      <c r="AI1039" s="16"/>
      <c r="AJ1039" s="16"/>
      <c r="AK1039" s="24"/>
      <c r="AL1039" s="25"/>
      <c r="AM1039" s="25"/>
      <c r="AN1039" s="25"/>
      <c r="AO1039" s="25"/>
      <c r="AP1039" s="25"/>
    </row>
    <row r="1040" ht="15.75" customHeight="1">
      <c r="A1040" s="26"/>
      <c r="B1040" s="26"/>
      <c r="C1040" s="26"/>
      <c r="D1040" s="26"/>
      <c r="E1040" s="26"/>
      <c r="F1040" s="26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32"/>
      <c r="AL1040" s="25"/>
      <c r="AM1040" s="25"/>
      <c r="AN1040" s="25"/>
      <c r="AO1040" s="25"/>
      <c r="AP1040" s="25"/>
    </row>
    <row r="1041" ht="15.75" customHeight="1">
      <c r="A1041" s="16"/>
      <c r="B1041" s="16"/>
      <c r="C1041" s="16"/>
      <c r="D1041" s="16"/>
      <c r="E1041" s="16"/>
      <c r="F1041" s="16"/>
      <c r="G1041" s="16"/>
      <c r="H1041" s="16"/>
      <c r="I1041" s="16"/>
      <c r="J1041" s="16"/>
      <c r="K1041" s="16"/>
      <c r="L1041" s="16"/>
      <c r="M1041" s="16"/>
      <c r="N1041" s="16"/>
      <c r="O1041" s="16"/>
      <c r="P1041" s="16"/>
      <c r="Q1041" s="16"/>
      <c r="R1041" s="16"/>
      <c r="S1041" s="16"/>
      <c r="T1041" s="16"/>
      <c r="U1041" s="16"/>
      <c r="V1041" s="16"/>
      <c r="W1041" s="16"/>
      <c r="X1041" s="16"/>
      <c r="Y1041" s="16"/>
      <c r="Z1041" s="16"/>
      <c r="AA1041" s="16"/>
      <c r="AB1041" s="16"/>
      <c r="AC1041" s="16"/>
      <c r="AD1041" s="16"/>
      <c r="AE1041" s="16"/>
      <c r="AF1041" s="16"/>
      <c r="AG1041" s="16"/>
      <c r="AH1041" s="16"/>
      <c r="AI1041" s="16"/>
      <c r="AJ1041" s="16"/>
      <c r="AK1041" s="24"/>
      <c r="AL1041" s="25"/>
      <c r="AM1041" s="25"/>
      <c r="AN1041" s="25"/>
      <c r="AO1041" s="25"/>
      <c r="AP1041" s="25"/>
    </row>
    <row r="1042" ht="15.75" customHeight="1">
      <c r="A1042" s="26"/>
      <c r="B1042" s="26"/>
      <c r="C1042" s="26"/>
      <c r="D1042" s="26"/>
      <c r="E1042" s="26"/>
      <c r="F1042" s="26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32"/>
      <c r="AL1042" s="25"/>
      <c r="AM1042" s="25"/>
      <c r="AN1042" s="25"/>
      <c r="AO1042" s="25"/>
      <c r="AP1042" s="25"/>
    </row>
    <row r="1043" ht="15.75" customHeight="1">
      <c r="A1043" s="16"/>
      <c r="B1043" s="16"/>
      <c r="C1043" s="16"/>
      <c r="D1043" s="16"/>
      <c r="E1043" s="16"/>
      <c r="F1043" s="16"/>
      <c r="G1043" s="16"/>
      <c r="H1043" s="16"/>
      <c r="I1043" s="16"/>
      <c r="J1043" s="16"/>
      <c r="K1043" s="16"/>
      <c r="L1043" s="16"/>
      <c r="M1043" s="16"/>
      <c r="N1043" s="16"/>
      <c r="O1043" s="16"/>
      <c r="P1043" s="16"/>
      <c r="Q1043" s="16"/>
      <c r="R1043" s="16"/>
      <c r="S1043" s="16"/>
      <c r="T1043" s="16"/>
      <c r="U1043" s="16"/>
      <c r="V1043" s="16"/>
      <c r="W1043" s="16"/>
      <c r="X1043" s="16"/>
      <c r="Y1043" s="16"/>
      <c r="Z1043" s="16"/>
      <c r="AA1043" s="16"/>
      <c r="AB1043" s="16"/>
      <c r="AC1043" s="16"/>
      <c r="AD1043" s="16"/>
      <c r="AE1043" s="16"/>
      <c r="AF1043" s="16"/>
      <c r="AG1043" s="16"/>
      <c r="AH1043" s="16"/>
      <c r="AI1043" s="16"/>
      <c r="AJ1043" s="16"/>
      <c r="AK1043" s="24"/>
      <c r="AL1043" s="25"/>
      <c r="AM1043" s="25"/>
      <c r="AN1043" s="25"/>
      <c r="AO1043" s="25"/>
      <c r="AP1043" s="25"/>
    </row>
    <row r="1044" ht="15.75" customHeight="1">
      <c r="A1044" s="26"/>
      <c r="B1044" s="26"/>
      <c r="C1044" s="26"/>
      <c r="D1044" s="26"/>
      <c r="E1044" s="26"/>
      <c r="F1044" s="26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32"/>
      <c r="AL1044" s="25"/>
      <c r="AM1044" s="25"/>
      <c r="AN1044" s="25"/>
      <c r="AO1044" s="25"/>
      <c r="AP1044" s="25"/>
    </row>
    <row r="1045" ht="15.75" customHeight="1">
      <c r="A1045" s="16"/>
      <c r="B1045" s="16"/>
      <c r="C1045" s="16"/>
      <c r="D1045" s="16"/>
      <c r="E1045" s="16"/>
      <c r="F1045" s="16"/>
      <c r="G1045" s="16"/>
      <c r="H1045" s="16"/>
      <c r="I1045" s="16"/>
      <c r="J1045" s="16"/>
      <c r="K1045" s="16"/>
      <c r="L1045" s="16"/>
      <c r="M1045" s="16"/>
      <c r="N1045" s="16"/>
      <c r="O1045" s="16"/>
      <c r="P1045" s="16"/>
      <c r="Q1045" s="16"/>
      <c r="R1045" s="16"/>
      <c r="S1045" s="16"/>
      <c r="T1045" s="16"/>
      <c r="U1045" s="16"/>
      <c r="V1045" s="16"/>
      <c r="W1045" s="16"/>
      <c r="X1045" s="16"/>
      <c r="Y1045" s="16"/>
      <c r="Z1045" s="16"/>
      <c r="AA1045" s="16"/>
      <c r="AB1045" s="16"/>
      <c r="AC1045" s="16"/>
      <c r="AD1045" s="16"/>
      <c r="AE1045" s="16"/>
      <c r="AF1045" s="16"/>
      <c r="AG1045" s="16"/>
      <c r="AH1045" s="16"/>
      <c r="AI1045" s="16"/>
      <c r="AJ1045" s="16"/>
      <c r="AK1045" s="24"/>
      <c r="AL1045" s="25"/>
      <c r="AM1045" s="25"/>
      <c r="AN1045" s="25"/>
      <c r="AO1045" s="25"/>
      <c r="AP1045" s="25"/>
    </row>
    <row r="1046" ht="15.75" customHeight="1">
      <c r="A1046" s="26"/>
      <c r="B1046" s="26"/>
      <c r="C1046" s="26"/>
      <c r="D1046" s="26"/>
      <c r="E1046" s="26"/>
      <c r="F1046" s="26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32"/>
      <c r="AL1046" s="25"/>
      <c r="AM1046" s="25"/>
      <c r="AN1046" s="25"/>
      <c r="AO1046" s="25"/>
      <c r="AP1046" s="25"/>
    </row>
    <row r="1047" ht="15.75" customHeight="1">
      <c r="A1047" s="16"/>
      <c r="B1047" s="16"/>
      <c r="C1047" s="16"/>
      <c r="D1047" s="16"/>
      <c r="E1047" s="16"/>
      <c r="F1047" s="16"/>
      <c r="G1047" s="16"/>
      <c r="H1047" s="16"/>
      <c r="I1047" s="16"/>
      <c r="J1047" s="16"/>
      <c r="K1047" s="16"/>
      <c r="L1047" s="16"/>
      <c r="M1047" s="16"/>
      <c r="N1047" s="16"/>
      <c r="O1047" s="16"/>
      <c r="P1047" s="16"/>
      <c r="Q1047" s="16"/>
      <c r="R1047" s="16"/>
      <c r="S1047" s="16"/>
      <c r="T1047" s="16"/>
      <c r="U1047" s="16"/>
      <c r="V1047" s="16"/>
      <c r="W1047" s="16"/>
      <c r="X1047" s="16"/>
      <c r="Y1047" s="16"/>
      <c r="Z1047" s="16"/>
      <c r="AA1047" s="16"/>
      <c r="AB1047" s="16"/>
      <c r="AC1047" s="16"/>
      <c r="AD1047" s="16"/>
      <c r="AE1047" s="16"/>
      <c r="AF1047" s="16"/>
      <c r="AG1047" s="16"/>
      <c r="AH1047" s="16"/>
      <c r="AI1047" s="16"/>
      <c r="AJ1047" s="16"/>
      <c r="AK1047" s="24"/>
      <c r="AL1047" s="25"/>
      <c r="AM1047" s="25"/>
      <c r="AN1047" s="25"/>
      <c r="AO1047" s="25"/>
      <c r="AP1047" s="25"/>
    </row>
    <row r="1048" ht="15.75" customHeight="1">
      <c r="A1048" s="26"/>
      <c r="B1048" s="26"/>
      <c r="C1048" s="26"/>
      <c r="D1048" s="26"/>
      <c r="E1048" s="26"/>
      <c r="F1048" s="26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32"/>
      <c r="AL1048" s="25"/>
      <c r="AM1048" s="25"/>
      <c r="AN1048" s="25"/>
      <c r="AO1048" s="25"/>
      <c r="AP1048" s="25"/>
    </row>
    <row r="1049" ht="15.75" customHeight="1">
      <c r="A1049" s="16"/>
      <c r="B1049" s="16"/>
      <c r="C1049" s="16"/>
      <c r="D1049" s="16"/>
      <c r="E1049" s="16"/>
      <c r="F1049" s="16"/>
      <c r="G1049" s="16"/>
      <c r="H1049" s="16"/>
      <c r="I1049" s="16"/>
      <c r="J1049" s="16"/>
      <c r="K1049" s="16"/>
      <c r="L1049" s="16"/>
      <c r="M1049" s="16"/>
      <c r="N1049" s="16"/>
      <c r="O1049" s="16"/>
      <c r="P1049" s="16"/>
      <c r="Q1049" s="16"/>
      <c r="R1049" s="16"/>
      <c r="S1049" s="16"/>
      <c r="T1049" s="16"/>
      <c r="U1049" s="16"/>
      <c r="V1049" s="16"/>
      <c r="W1049" s="16"/>
      <c r="X1049" s="16"/>
      <c r="Y1049" s="16"/>
      <c r="Z1049" s="16"/>
      <c r="AA1049" s="16"/>
      <c r="AB1049" s="16"/>
      <c r="AC1049" s="16"/>
      <c r="AD1049" s="16"/>
      <c r="AE1049" s="16"/>
      <c r="AF1049" s="16"/>
      <c r="AG1049" s="16"/>
      <c r="AH1049" s="16"/>
      <c r="AI1049" s="16"/>
      <c r="AJ1049" s="16"/>
      <c r="AK1049" s="24"/>
      <c r="AL1049" s="25"/>
      <c r="AM1049" s="25"/>
      <c r="AN1049" s="25"/>
      <c r="AO1049" s="25"/>
      <c r="AP1049" s="25"/>
    </row>
    <row r="1050" ht="15.75" customHeight="1">
      <c r="A1050" s="26"/>
      <c r="B1050" s="26"/>
      <c r="C1050" s="26"/>
      <c r="D1050" s="26"/>
      <c r="E1050" s="26"/>
      <c r="F1050" s="26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32"/>
      <c r="AL1050" s="25"/>
      <c r="AM1050" s="25"/>
      <c r="AN1050" s="25"/>
      <c r="AO1050" s="25"/>
      <c r="AP1050" s="25"/>
    </row>
    <row r="1051" ht="15.75" customHeight="1">
      <c r="A1051" s="16"/>
      <c r="B1051" s="16"/>
      <c r="C1051" s="16"/>
      <c r="D1051" s="16"/>
      <c r="E1051" s="16"/>
      <c r="F1051" s="16"/>
      <c r="G1051" s="16"/>
      <c r="H1051" s="16"/>
      <c r="I1051" s="16"/>
      <c r="J1051" s="16"/>
      <c r="K1051" s="16"/>
      <c r="L1051" s="16"/>
      <c r="M1051" s="16"/>
      <c r="N1051" s="16"/>
      <c r="O1051" s="16"/>
      <c r="P1051" s="16"/>
      <c r="Q1051" s="16"/>
      <c r="R1051" s="16"/>
      <c r="S1051" s="16"/>
      <c r="T1051" s="16"/>
      <c r="U1051" s="16"/>
      <c r="V1051" s="16"/>
      <c r="W1051" s="16"/>
      <c r="X1051" s="16"/>
      <c r="Y1051" s="16"/>
      <c r="Z1051" s="16"/>
      <c r="AA1051" s="16"/>
      <c r="AB1051" s="16"/>
      <c r="AC1051" s="16"/>
      <c r="AD1051" s="16"/>
      <c r="AE1051" s="16"/>
      <c r="AF1051" s="16"/>
      <c r="AG1051" s="16"/>
      <c r="AH1051" s="16"/>
      <c r="AI1051" s="16"/>
      <c r="AJ1051" s="16"/>
      <c r="AK1051" s="24"/>
      <c r="AL1051" s="25"/>
      <c r="AM1051" s="25"/>
      <c r="AN1051" s="25"/>
      <c r="AO1051" s="25"/>
      <c r="AP1051" s="25"/>
    </row>
    <row r="1052" ht="15.75" customHeight="1">
      <c r="A1052" s="26"/>
      <c r="B1052" s="26"/>
      <c r="C1052" s="26"/>
      <c r="D1052" s="26"/>
      <c r="E1052" s="26"/>
      <c r="F1052" s="26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  <c r="AK1052" s="32"/>
      <c r="AL1052" s="25"/>
      <c r="AM1052" s="25"/>
      <c r="AN1052" s="25"/>
      <c r="AO1052" s="25"/>
      <c r="AP1052" s="25"/>
    </row>
    <row r="1053" ht="15.75" customHeight="1">
      <c r="A1053" s="16"/>
      <c r="B1053" s="16"/>
      <c r="C1053" s="16"/>
      <c r="D1053" s="16"/>
      <c r="E1053" s="16"/>
      <c r="F1053" s="16"/>
      <c r="G1053" s="16"/>
      <c r="H1053" s="16"/>
      <c r="I1053" s="16"/>
      <c r="J1053" s="16"/>
      <c r="K1053" s="16"/>
      <c r="L1053" s="16"/>
      <c r="M1053" s="16"/>
      <c r="N1053" s="16"/>
      <c r="O1053" s="16"/>
      <c r="P1053" s="16"/>
      <c r="Q1053" s="16"/>
      <c r="R1053" s="16"/>
      <c r="S1053" s="16"/>
      <c r="T1053" s="16"/>
      <c r="U1053" s="16"/>
      <c r="V1053" s="16"/>
      <c r="W1053" s="16"/>
      <c r="X1053" s="16"/>
      <c r="Y1053" s="16"/>
      <c r="Z1053" s="16"/>
      <c r="AA1053" s="16"/>
      <c r="AB1053" s="16"/>
      <c r="AC1053" s="16"/>
      <c r="AD1053" s="16"/>
      <c r="AE1053" s="16"/>
      <c r="AF1053" s="16"/>
      <c r="AG1053" s="16"/>
      <c r="AH1053" s="16"/>
      <c r="AI1053" s="16"/>
      <c r="AJ1053" s="16"/>
      <c r="AK1053" s="24"/>
      <c r="AL1053" s="25"/>
      <c r="AM1053" s="25"/>
      <c r="AN1053" s="25"/>
      <c r="AO1053" s="25"/>
      <c r="AP1053" s="25"/>
    </row>
    <row r="1054" ht="15.75" customHeight="1">
      <c r="A1054" s="26"/>
      <c r="B1054" s="26"/>
      <c r="C1054" s="26"/>
      <c r="D1054" s="26"/>
      <c r="E1054" s="26"/>
      <c r="F1054" s="26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  <c r="AK1054" s="32"/>
      <c r="AL1054" s="25"/>
      <c r="AM1054" s="25"/>
      <c r="AN1054" s="25"/>
      <c r="AO1054" s="25"/>
      <c r="AP1054" s="25"/>
    </row>
    <row r="1055" ht="15.75" customHeight="1">
      <c r="A1055" s="16"/>
      <c r="B1055" s="16"/>
      <c r="C1055" s="16"/>
      <c r="D1055" s="16"/>
      <c r="E1055" s="16"/>
      <c r="F1055" s="16"/>
      <c r="G1055" s="16"/>
      <c r="H1055" s="16"/>
      <c r="I1055" s="16"/>
      <c r="J1055" s="16"/>
      <c r="K1055" s="16"/>
      <c r="L1055" s="16"/>
      <c r="M1055" s="16"/>
      <c r="N1055" s="16"/>
      <c r="O1055" s="16"/>
      <c r="P1055" s="16"/>
      <c r="Q1055" s="16"/>
      <c r="R1055" s="16"/>
      <c r="S1055" s="16"/>
      <c r="T1055" s="16"/>
      <c r="U1055" s="16"/>
      <c r="V1055" s="16"/>
      <c r="W1055" s="16"/>
      <c r="X1055" s="16"/>
      <c r="Y1055" s="16"/>
      <c r="Z1055" s="16"/>
      <c r="AA1055" s="16"/>
      <c r="AB1055" s="16"/>
      <c r="AC1055" s="16"/>
      <c r="AD1055" s="16"/>
      <c r="AE1055" s="16"/>
      <c r="AF1055" s="16"/>
      <c r="AG1055" s="16"/>
      <c r="AH1055" s="16"/>
      <c r="AI1055" s="16"/>
      <c r="AJ1055" s="16"/>
      <c r="AK1055" s="24"/>
      <c r="AL1055" s="25"/>
      <c r="AM1055" s="25"/>
      <c r="AN1055" s="25"/>
      <c r="AO1055" s="25"/>
      <c r="AP1055" s="25"/>
    </row>
    <row r="1056" ht="15.75" customHeight="1">
      <c r="A1056" s="26"/>
      <c r="B1056" s="26"/>
      <c r="C1056" s="26"/>
      <c r="D1056" s="26"/>
      <c r="E1056" s="26"/>
      <c r="F1056" s="26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  <c r="AK1056" s="32"/>
      <c r="AL1056" s="25"/>
      <c r="AM1056" s="25"/>
      <c r="AN1056" s="25"/>
      <c r="AO1056" s="25"/>
      <c r="AP1056" s="25"/>
    </row>
    <row r="1057" ht="15.75" customHeight="1">
      <c r="A1057" s="16"/>
      <c r="B1057" s="16"/>
      <c r="C1057" s="16"/>
      <c r="D1057" s="16"/>
      <c r="E1057" s="16"/>
      <c r="F1057" s="16"/>
      <c r="G1057" s="16"/>
      <c r="H1057" s="16"/>
      <c r="I1057" s="16"/>
      <c r="J1057" s="16"/>
      <c r="K1057" s="16"/>
      <c r="L1057" s="16"/>
      <c r="M1057" s="16"/>
      <c r="N1057" s="16"/>
      <c r="O1057" s="16"/>
      <c r="P1057" s="16"/>
      <c r="Q1057" s="16"/>
      <c r="R1057" s="16"/>
      <c r="S1057" s="16"/>
      <c r="T1057" s="16"/>
      <c r="U1057" s="16"/>
      <c r="V1057" s="16"/>
      <c r="W1057" s="16"/>
      <c r="X1057" s="16"/>
      <c r="Y1057" s="16"/>
      <c r="Z1057" s="16"/>
      <c r="AA1057" s="16"/>
      <c r="AB1057" s="16"/>
      <c r="AC1057" s="16"/>
      <c r="AD1057" s="16"/>
      <c r="AE1057" s="16"/>
      <c r="AF1057" s="16"/>
      <c r="AG1057" s="16"/>
      <c r="AH1057" s="16"/>
      <c r="AI1057" s="16"/>
      <c r="AJ1057" s="16"/>
      <c r="AK1057" s="24"/>
      <c r="AL1057" s="25"/>
      <c r="AM1057" s="25"/>
      <c r="AN1057" s="25"/>
      <c r="AO1057" s="25"/>
      <c r="AP1057" s="25"/>
    </row>
    <row r="1058" ht="15.75" customHeight="1">
      <c r="A1058" s="26"/>
      <c r="B1058" s="26"/>
      <c r="C1058" s="26"/>
      <c r="D1058" s="26"/>
      <c r="E1058" s="26"/>
      <c r="F1058" s="26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32"/>
      <c r="AL1058" s="25"/>
      <c r="AM1058" s="25"/>
      <c r="AN1058" s="25"/>
      <c r="AO1058" s="25"/>
      <c r="AP1058" s="25"/>
    </row>
    <row r="1059" ht="15.75" customHeight="1">
      <c r="A1059" s="16"/>
      <c r="B1059" s="16"/>
      <c r="C1059" s="16"/>
      <c r="D1059" s="16"/>
      <c r="E1059" s="16"/>
      <c r="F1059" s="16"/>
      <c r="G1059" s="16"/>
      <c r="H1059" s="16"/>
      <c r="I1059" s="16"/>
      <c r="J1059" s="16"/>
      <c r="K1059" s="16"/>
      <c r="L1059" s="16"/>
      <c r="M1059" s="16"/>
      <c r="N1059" s="16"/>
      <c r="O1059" s="16"/>
      <c r="P1059" s="16"/>
      <c r="Q1059" s="16"/>
      <c r="R1059" s="16"/>
      <c r="S1059" s="16"/>
      <c r="T1059" s="16"/>
      <c r="U1059" s="16"/>
      <c r="V1059" s="16"/>
      <c r="W1059" s="16"/>
      <c r="X1059" s="16"/>
      <c r="Y1059" s="16"/>
      <c r="Z1059" s="16"/>
      <c r="AA1059" s="16"/>
      <c r="AB1059" s="16"/>
      <c r="AC1059" s="16"/>
      <c r="AD1059" s="16"/>
      <c r="AE1059" s="16"/>
      <c r="AF1059" s="16"/>
      <c r="AG1059" s="16"/>
      <c r="AH1059" s="16"/>
      <c r="AI1059" s="16"/>
      <c r="AJ1059" s="16"/>
      <c r="AK1059" s="24"/>
      <c r="AL1059" s="25"/>
      <c r="AM1059" s="25"/>
      <c r="AN1059" s="25"/>
      <c r="AO1059" s="25"/>
      <c r="AP1059" s="25"/>
    </row>
    <row r="1060" ht="15.75" customHeight="1">
      <c r="A1060" s="26"/>
      <c r="B1060" s="26"/>
      <c r="C1060" s="26"/>
      <c r="D1060" s="26"/>
      <c r="E1060" s="26"/>
      <c r="F1060" s="26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  <c r="AK1060" s="32"/>
      <c r="AL1060" s="25"/>
      <c r="AM1060" s="25"/>
      <c r="AN1060" s="25"/>
      <c r="AO1060" s="25"/>
      <c r="AP1060" s="25"/>
    </row>
    <row r="1061" ht="15.75" customHeight="1">
      <c r="A1061" s="16"/>
      <c r="B1061" s="16"/>
      <c r="C1061" s="16"/>
      <c r="D1061" s="16"/>
      <c r="E1061" s="16"/>
      <c r="F1061" s="16"/>
      <c r="G1061" s="16"/>
      <c r="H1061" s="16"/>
      <c r="I1061" s="16"/>
      <c r="J1061" s="16"/>
      <c r="K1061" s="16"/>
      <c r="L1061" s="16"/>
      <c r="M1061" s="16"/>
      <c r="N1061" s="16"/>
      <c r="O1061" s="16"/>
      <c r="P1061" s="16"/>
      <c r="Q1061" s="16"/>
      <c r="R1061" s="16"/>
      <c r="S1061" s="16"/>
      <c r="T1061" s="16"/>
      <c r="U1061" s="16"/>
      <c r="V1061" s="16"/>
      <c r="W1061" s="16"/>
      <c r="X1061" s="16"/>
      <c r="Y1061" s="16"/>
      <c r="Z1061" s="16"/>
      <c r="AA1061" s="16"/>
      <c r="AB1061" s="16"/>
      <c r="AC1061" s="16"/>
      <c r="AD1061" s="16"/>
      <c r="AE1061" s="16"/>
      <c r="AF1061" s="16"/>
      <c r="AG1061" s="16"/>
      <c r="AH1061" s="16"/>
      <c r="AI1061" s="16"/>
      <c r="AJ1061" s="16"/>
      <c r="AK1061" s="24"/>
      <c r="AL1061" s="25"/>
      <c r="AM1061" s="25"/>
      <c r="AN1061" s="25"/>
      <c r="AO1061" s="25"/>
      <c r="AP1061" s="25"/>
    </row>
    <row r="1062" ht="15.75" customHeight="1">
      <c r="A1062" s="26"/>
      <c r="B1062" s="26"/>
      <c r="C1062" s="26"/>
      <c r="D1062" s="26"/>
      <c r="E1062" s="26"/>
      <c r="F1062" s="26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32"/>
      <c r="AL1062" s="25"/>
      <c r="AM1062" s="25"/>
      <c r="AN1062" s="25"/>
      <c r="AO1062" s="25"/>
      <c r="AP1062" s="25"/>
    </row>
    <row r="1063" ht="15.75" customHeight="1">
      <c r="A1063" s="16"/>
      <c r="B1063" s="16"/>
      <c r="C1063" s="16"/>
      <c r="D1063" s="16"/>
      <c r="E1063" s="16"/>
      <c r="F1063" s="16"/>
      <c r="G1063" s="16"/>
      <c r="H1063" s="16"/>
      <c r="I1063" s="16"/>
      <c r="J1063" s="16"/>
      <c r="K1063" s="16"/>
      <c r="L1063" s="16"/>
      <c r="M1063" s="16"/>
      <c r="N1063" s="16"/>
      <c r="O1063" s="16"/>
      <c r="P1063" s="16"/>
      <c r="Q1063" s="16"/>
      <c r="R1063" s="16"/>
      <c r="S1063" s="16"/>
      <c r="T1063" s="16"/>
      <c r="U1063" s="16"/>
      <c r="V1063" s="16"/>
      <c r="W1063" s="16"/>
      <c r="X1063" s="16"/>
      <c r="Y1063" s="16"/>
      <c r="Z1063" s="16"/>
      <c r="AA1063" s="16"/>
      <c r="AB1063" s="16"/>
      <c r="AC1063" s="16"/>
      <c r="AD1063" s="16"/>
      <c r="AE1063" s="16"/>
      <c r="AF1063" s="16"/>
      <c r="AG1063" s="16"/>
      <c r="AH1063" s="16"/>
      <c r="AI1063" s="16"/>
      <c r="AJ1063" s="16"/>
      <c r="AK1063" s="24"/>
      <c r="AL1063" s="25"/>
      <c r="AM1063" s="25"/>
      <c r="AN1063" s="25"/>
      <c r="AO1063" s="25"/>
      <c r="AP1063" s="25"/>
    </row>
    <row r="1064" ht="15.75" customHeight="1">
      <c r="A1064" s="26"/>
      <c r="B1064" s="26"/>
      <c r="C1064" s="26"/>
      <c r="D1064" s="26"/>
      <c r="E1064" s="26"/>
      <c r="F1064" s="26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32"/>
      <c r="AL1064" s="25"/>
      <c r="AM1064" s="25"/>
      <c r="AN1064" s="25"/>
      <c r="AO1064" s="25"/>
      <c r="AP1064" s="25"/>
    </row>
    <row r="1065" ht="15.75" customHeight="1">
      <c r="A1065" s="16"/>
      <c r="B1065" s="16"/>
      <c r="C1065" s="16"/>
      <c r="D1065" s="16"/>
      <c r="E1065" s="16"/>
      <c r="F1065" s="16"/>
      <c r="G1065" s="16"/>
      <c r="H1065" s="16"/>
      <c r="I1065" s="16"/>
      <c r="J1065" s="16"/>
      <c r="K1065" s="16"/>
      <c r="L1065" s="16"/>
      <c r="M1065" s="16"/>
      <c r="N1065" s="16"/>
      <c r="O1065" s="16"/>
      <c r="P1065" s="16"/>
      <c r="Q1065" s="16"/>
      <c r="R1065" s="16"/>
      <c r="S1065" s="16"/>
      <c r="T1065" s="16"/>
      <c r="U1065" s="16"/>
      <c r="V1065" s="16"/>
      <c r="W1065" s="16"/>
      <c r="X1065" s="16"/>
      <c r="Y1065" s="16"/>
      <c r="Z1065" s="16"/>
      <c r="AA1065" s="16"/>
      <c r="AB1065" s="16"/>
      <c r="AC1065" s="16"/>
      <c r="AD1065" s="16"/>
      <c r="AE1065" s="16"/>
      <c r="AF1065" s="16"/>
      <c r="AG1065" s="16"/>
      <c r="AH1065" s="16"/>
      <c r="AI1065" s="16"/>
      <c r="AJ1065" s="16"/>
      <c r="AK1065" s="24"/>
      <c r="AL1065" s="25"/>
      <c r="AM1065" s="25"/>
      <c r="AN1065" s="25"/>
      <c r="AO1065" s="25"/>
      <c r="AP1065" s="25"/>
    </row>
    <row r="1066" ht="15.75" customHeight="1">
      <c r="A1066" s="26"/>
      <c r="B1066" s="26"/>
      <c r="C1066" s="26"/>
      <c r="D1066" s="26"/>
      <c r="E1066" s="26"/>
      <c r="F1066" s="26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  <c r="AK1066" s="32"/>
      <c r="AL1066" s="25"/>
      <c r="AM1066" s="25"/>
      <c r="AN1066" s="25"/>
      <c r="AO1066" s="25"/>
      <c r="AP1066" s="25"/>
    </row>
    <row r="1067" ht="15.75" customHeight="1">
      <c r="A1067" s="16"/>
      <c r="B1067" s="16"/>
      <c r="C1067" s="16"/>
      <c r="D1067" s="16"/>
      <c r="E1067" s="16"/>
      <c r="F1067" s="16"/>
      <c r="G1067" s="16"/>
      <c r="H1067" s="16"/>
      <c r="I1067" s="16"/>
      <c r="J1067" s="16"/>
      <c r="K1067" s="16"/>
      <c r="L1067" s="16"/>
      <c r="M1067" s="16"/>
      <c r="N1067" s="16"/>
      <c r="O1067" s="16"/>
      <c r="P1067" s="16"/>
      <c r="Q1067" s="16"/>
      <c r="R1067" s="16"/>
      <c r="S1067" s="16"/>
      <c r="T1067" s="16"/>
      <c r="U1067" s="16"/>
      <c r="V1067" s="16"/>
      <c r="W1067" s="16"/>
      <c r="X1067" s="16"/>
      <c r="Y1067" s="16"/>
      <c r="Z1067" s="16"/>
      <c r="AA1067" s="16"/>
      <c r="AB1067" s="16"/>
      <c r="AC1067" s="16"/>
      <c r="AD1067" s="16"/>
      <c r="AE1067" s="16"/>
      <c r="AF1067" s="16"/>
      <c r="AG1067" s="16"/>
      <c r="AH1067" s="16"/>
      <c r="AI1067" s="16"/>
      <c r="AJ1067" s="16"/>
      <c r="AK1067" s="24"/>
      <c r="AL1067" s="25"/>
      <c r="AM1067" s="25"/>
      <c r="AN1067" s="25"/>
      <c r="AO1067" s="25"/>
      <c r="AP1067" s="25"/>
    </row>
    <row r="1068" ht="15.75" customHeight="1">
      <c r="A1068" s="26"/>
      <c r="B1068" s="26"/>
      <c r="C1068" s="26"/>
      <c r="D1068" s="26"/>
      <c r="E1068" s="26"/>
      <c r="F1068" s="26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  <c r="AK1068" s="32"/>
      <c r="AL1068" s="25"/>
      <c r="AM1068" s="25"/>
      <c r="AN1068" s="25"/>
      <c r="AO1068" s="25"/>
      <c r="AP1068" s="25"/>
    </row>
    <row r="1069" ht="15.75" customHeight="1">
      <c r="A1069" s="16"/>
      <c r="B1069" s="16"/>
      <c r="C1069" s="16"/>
      <c r="D1069" s="16"/>
      <c r="E1069" s="16"/>
      <c r="F1069" s="16"/>
      <c r="G1069" s="16"/>
      <c r="H1069" s="16"/>
      <c r="I1069" s="16"/>
      <c r="J1069" s="16"/>
      <c r="K1069" s="16"/>
      <c r="L1069" s="16"/>
      <c r="M1069" s="16"/>
      <c r="N1069" s="16"/>
      <c r="O1069" s="16"/>
      <c r="P1069" s="16"/>
      <c r="Q1069" s="16"/>
      <c r="R1069" s="16"/>
      <c r="S1069" s="16"/>
      <c r="T1069" s="16"/>
      <c r="U1069" s="16"/>
      <c r="V1069" s="16"/>
      <c r="W1069" s="16"/>
      <c r="X1069" s="16"/>
      <c r="Y1069" s="16"/>
      <c r="Z1069" s="16"/>
      <c r="AA1069" s="16"/>
      <c r="AB1069" s="16"/>
      <c r="AC1069" s="16"/>
      <c r="AD1069" s="16"/>
      <c r="AE1069" s="16"/>
      <c r="AF1069" s="16"/>
      <c r="AG1069" s="16"/>
      <c r="AH1069" s="16"/>
      <c r="AI1069" s="16"/>
      <c r="AJ1069" s="16"/>
      <c r="AK1069" s="24"/>
      <c r="AL1069" s="25"/>
      <c r="AM1069" s="25"/>
      <c r="AN1069" s="25"/>
      <c r="AO1069" s="25"/>
      <c r="AP1069" s="25"/>
    </row>
    <row r="1070" ht="15.75" customHeight="1">
      <c r="A1070" s="26"/>
      <c r="B1070" s="26"/>
      <c r="C1070" s="26"/>
      <c r="D1070" s="26"/>
      <c r="E1070" s="26"/>
      <c r="F1070" s="26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  <c r="AK1070" s="32"/>
      <c r="AL1070" s="25"/>
      <c r="AM1070" s="25"/>
      <c r="AN1070" s="25"/>
      <c r="AO1070" s="25"/>
      <c r="AP1070" s="25"/>
    </row>
    <row r="1071" ht="15.75" customHeight="1">
      <c r="A1071" s="16"/>
      <c r="B1071" s="16"/>
      <c r="C1071" s="16"/>
      <c r="D1071" s="16"/>
      <c r="E1071" s="16"/>
      <c r="F1071" s="16"/>
      <c r="G1071" s="16"/>
      <c r="H1071" s="16"/>
      <c r="I1071" s="16"/>
      <c r="J1071" s="16"/>
      <c r="K1071" s="16"/>
      <c r="L1071" s="16"/>
      <c r="M1071" s="16"/>
      <c r="N1071" s="16"/>
      <c r="O1071" s="16"/>
      <c r="P1071" s="16"/>
      <c r="Q1071" s="16"/>
      <c r="R1071" s="16"/>
      <c r="S1071" s="16"/>
      <c r="T1071" s="16"/>
      <c r="U1071" s="16"/>
      <c r="V1071" s="16"/>
      <c r="W1071" s="16"/>
      <c r="X1071" s="16"/>
      <c r="Y1071" s="16"/>
      <c r="Z1071" s="16"/>
      <c r="AA1071" s="16"/>
      <c r="AB1071" s="16"/>
      <c r="AC1071" s="16"/>
      <c r="AD1071" s="16"/>
      <c r="AE1071" s="16"/>
      <c r="AF1071" s="16"/>
      <c r="AG1071" s="16"/>
      <c r="AH1071" s="16"/>
      <c r="AI1071" s="16"/>
      <c r="AJ1071" s="16"/>
      <c r="AK1071" s="24"/>
      <c r="AL1071" s="25"/>
      <c r="AM1071" s="25"/>
      <c r="AN1071" s="25"/>
      <c r="AO1071" s="25"/>
      <c r="AP1071" s="25"/>
    </row>
    <row r="1072" ht="15.75" customHeight="1">
      <c r="A1072" s="26"/>
      <c r="B1072" s="26"/>
      <c r="C1072" s="26"/>
      <c r="D1072" s="26"/>
      <c r="E1072" s="26"/>
      <c r="F1072" s="26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32"/>
      <c r="AL1072" s="25"/>
      <c r="AM1072" s="25"/>
      <c r="AN1072" s="25"/>
      <c r="AO1072" s="25"/>
      <c r="AP1072" s="25"/>
    </row>
    <row r="1073" ht="15.75" customHeight="1">
      <c r="A1073" s="16"/>
      <c r="B1073" s="16"/>
      <c r="C1073" s="16"/>
      <c r="D1073" s="16"/>
      <c r="E1073" s="16"/>
      <c r="F1073" s="16"/>
      <c r="G1073" s="16"/>
      <c r="H1073" s="16"/>
      <c r="I1073" s="16"/>
      <c r="J1073" s="16"/>
      <c r="K1073" s="16"/>
      <c r="L1073" s="16"/>
      <c r="M1073" s="16"/>
      <c r="N1073" s="16"/>
      <c r="O1073" s="16"/>
      <c r="P1073" s="16"/>
      <c r="Q1073" s="16"/>
      <c r="R1073" s="16"/>
      <c r="S1073" s="16"/>
      <c r="T1073" s="16"/>
      <c r="U1073" s="16"/>
      <c r="V1073" s="16"/>
      <c r="W1073" s="16"/>
      <c r="X1073" s="16"/>
      <c r="Y1073" s="16"/>
      <c r="Z1073" s="16"/>
      <c r="AA1073" s="16"/>
      <c r="AB1073" s="16"/>
      <c r="AC1073" s="16"/>
      <c r="AD1073" s="16"/>
      <c r="AE1073" s="16"/>
      <c r="AF1073" s="16"/>
      <c r="AG1073" s="16"/>
      <c r="AH1073" s="16"/>
      <c r="AI1073" s="16"/>
      <c r="AJ1073" s="16"/>
      <c r="AK1073" s="24"/>
      <c r="AL1073" s="25"/>
      <c r="AM1073" s="25"/>
      <c r="AN1073" s="25"/>
      <c r="AO1073" s="25"/>
      <c r="AP1073" s="25"/>
    </row>
    <row r="1074" ht="15.75" customHeight="1">
      <c r="A1074" s="26"/>
      <c r="B1074" s="26"/>
      <c r="C1074" s="26"/>
      <c r="D1074" s="26"/>
      <c r="E1074" s="26"/>
      <c r="F1074" s="26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32"/>
      <c r="AL1074" s="25"/>
      <c r="AM1074" s="25"/>
      <c r="AN1074" s="25"/>
      <c r="AO1074" s="25"/>
      <c r="AP1074" s="25"/>
    </row>
    <row r="1075" ht="15.75" customHeight="1">
      <c r="A1075" s="16"/>
      <c r="B1075" s="16"/>
      <c r="C1075" s="16"/>
      <c r="D1075" s="16"/>
      <c r="E1075" s="16"/>
      <c r="F1075" s="16"/>
      <c r="G1075" s="16"/>
      <c r="H1075" s="16"/>
      <c r="I1075" s="16"/>
      <c r="J1075" s="16"/>
      <c r="K1075" s="16"/>
      <c r="L1075" s="16"/>
      <c r="M1075" s="16"/>
      <c r="N1075" s="16"/>
      <c r="O1075" s="16"/>
      <c r="P1075" s="16"/>
      <c r="Q1075" s="16"/>
      <c r="R1075" s="16"/>
      <c r="S1075" s="16"/>
      <c r="T1075" s="16"/>
      <c r="U1075" s="16"/>
      <c r="V1075" s="16"/>
      <c r="W1075" s="16"/>
      <c r="X1075" s="16"/>
      <c r="Y1075" s="16"/>
      <c r="Z1075" s="16"/>
      <c r="AA1075" s="16"/>
      <c r="AB1075" s="16"/>
      <c r="AC1075" s="16"/>
      <c r="AD1075" s="16"/>
      <c r="AE1075" s="16"/>
      <c r="AF1075" s="16"/>
      <c r="AG1075" s="16"/>
      <c r="AH1075" s="16"/>
      <c r="AI1075" s="16"/>
      <c r="AJ1075" s="16"/>
      <c r="AK1075" s="24"/>
      <c r="AL1075" s="25"/>
      <c r="AM1075" s="25"/>
      <c r="AN1075" s="25"/>
      <c r="AO1075" s="25"/>
      <c r="AP1075" s="25"/>
    </row>
    <row r="1076" ht="15.75" customHeight="1">
      <c r="A1076" s="26"/>
      <c r="B1076" s="26"/>
      <c r="C1076" s="26"/>
      <c r="D1076" s="26"/>
      <c r="E1076" s="26"/>
      <c r="F1076" s="26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  <c r="AK1076" s="32"/>
      <c r="AL1076" s="25"/>
      <c r="AM1076" s="25"/>
      <c r="AN1076" s="25"/>
      <c r="AO1076" s="25"/>
      <c r="AP1076" s="25"/>
    </row>
    <row r="1077" ht="15.75" customHeight="1">
      <c r="A1077" s="16"/>
      <c r="B1077" s="16"/>
      <c r="C1077" s="16"/>
      <c r="D1077" s="16"/>
      <c r="E1077" s="16"/>
      <c r="F1077" s="16"/>
      <c r="G1077" s="16"/>
      <c r="H1077" s="16"/>
      <c r="I1077" s="16"/>
      <c r="J1077" s="16"/>
      <c r="K1077" s="16"/>
      <c r="L1077" s="16"/>
      <c r="M1077" s="16"/>
      <c r="N1077" s="16"/>
      <c r="O1077" s="16"/>
      <c r="P1077" s="16"/>
      <c r="Q1077" s="16"/>
      <c r="R1077" s="16"/>
      <c r="S1077" s="16"/>
      <c r="T1077" s="16"/>
      <c r="U1077" s="16"/>
      <c r="V1077" s="16"/>
      <c r="W1077" s="16"/>
      <c r="X1077" s="16"/>
      <c r="Y1077" s="16"/>
      <c r="Z1077" s="16"/>
      <c r="AA1077" s="16"/>
      <c r="AB1077" s="16"/>
      <c r="AC1077" s="16"/>
      <c r="AD1077" s="16"/>
      <c r="AE1077" s="16"/>
      <c r="AF1077" s="16"/>
      <c r="AG1077" s="16"/>
      <c r="AH1077" s="16"/>
      <c r="AI1077" s="16"/>
      <c r="AJ1077" s="16"/>
      <c r="AK1077" s="24"/>
      <c r="AL1077" s="25"/>
      <c r="AM1077" s="25"/>
      <c r="AN1077" s="25"/>
      <c r="AO1077" s="25"/>
      <c r="AP1077" s="25"/>
    </row>
    <row r="1078" ht="15.75" customHeight="1">
      <c r="A1078" s="26"/>
      <c r="B1078" s="26"/>
      <c r="C1078" s="26"/>
      <c r="D1078" s="26"/>
      <c r="E1078" s="26"/>
      <c r="F1078" s="26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  <c r="AK1078" s="32"/>
      <c r="AL1078" s="25"/>
      <c r="AM1078" s="25"/>
      <c r="AN1078" s="25"/>
      <c r="AO1078" s="25"/>
      <c r="AP1078" s="25"/>
    </row>
    <row r="1079" ht="15.75" customHeight="1">
      <c r="A1079" s="16"/>
      <c r="B1079" s="16"/>
      <c r="C1079" s="16"/>
      <c r="D1079" s="16"/>
      <c r="E1079" s="16"/>
      <c r="F1079" s="16"/>
      <c r="G1079" s="16"/>
      <c r="H1079" s="16"/>
      <c r="I1079" s="16"/>
      <c r="J1079" s="16"/>
      <c r="K1079" s="16"/>
      <c r="L1079" s="16"/>
      <c r="M1079" s="16"/>
      <c r="N1079" s="16"/>
      <c r="O1079" s="16"/>
      <c r="P1079" s="16"/>
      <c r="Q1079" s="16"/>
      <c r="R1079" s="16"/>
      <c r="S1079" s="16"/>
      <c r="T1079" s="16"/>
      <c r="U1079" s="16"/>
      <c r="V1079" s="16"/>
      <c r="W1079" s="16"/>
      <c r="X1079" s="16"/>
      <c r="Y1079" s="16"/>
      <c r="Z1079" s="16"/>
      <c r="AA1079" s="16"/>
      <c r="AB1079" s="16"/>
      <c r="AC1079" s="16"/>
      <c r="AD1079" s="16"/>
      <c r="AE1079" s="16"/>
      <c r="AF1079" s="16"/>
      <c r="AG1079" s="16"/>
      <c r="AH1079" s="16"/>
      <c r="AI1079" s="16"/>
      <c r="AJ1079" s="16"/>
      <c r="AK1079" s="24"/>
      <c r="AL1079" s="25"/>
      <c r="AM1079" s="25"/>
      <c r="AN1079" s="25"/>
      <c r="AO1079" s="25"/>
      <c r="AP1079" s="25"/>
    </row>
    <row r="1080" ht="15.75" customHeight="1">
      <c r="A1080" s="26"/>
      <c r="B1080" s="26"/>
      <c r="C1080" s="26"/>
      <c r="D1080" s="26"/>
      <c r="E1080" s="26"/>
      <c r="F1080" s="26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32"/>
      <c r="AL1080" s="25"/>
      <c r="AM1080" s="25"/>
      <c r="AN1080" s="25"/>
      <c r="AO1080" s="25"/>
      <c r="AP1080" s="25"/>
    </row>
    <row r="1081" ht="15.75" customHeight="1">
      <c r="A1081" s="16"/>
      <c r="B1081" s="16"/>
      <c r="C1081" s="16"/>
      <c r="D1081" s="16"/>
      <c r="E1081" s="16"/>
      <c r="F1081" s="16"/>
      <c r="G1081" s="16"/>
      <c r="H1081" s="16"/>
      <c r="I1081" s="16"/>
      <c r="J1081" s="16"/>
      <c r="K1081" s="16"/>
      <c r="L1081" s="16"/>
      <c r="M1081" s="16"/>
      <c r="N1081" s="16"/>
      <c r="O1081" s="16"/>
      <c r="P1081" s="16"/>
      <c r="Q1081" s="16"/>
      <c r="R1081" s="16"/>
      <c r="S1081" s="16"/>
      <c r="T1081" s="16"/>
      <c r="U1081" s="16"/>
      <c r="V1081" s="16"/>
      <c r="W1081" s="16"/>
      <c r="X1081" s="16"/>
      <c r="Y1081" s="16"/>
      <c r="Z1081" s="16"/>
      <c r="AA1081" s="16"/>
      <c r="AB1081" s="16"/>
      <c r="AC1081" s="16"/>
      <c r="AD1081" s="16"/>
      <c r="AE1081" s="16"/>
      <c r="AF1081" s="16"/>
      <c r="AG1081" s="16"/>
      <c r="AH1081" s="16"/>
      <c r="AI1081" s="16"/>
      <c r="AJ1081" s="16"/>
      <c r="AK1081" s="24"/>
      <c r="AL1081" s="25"/>
      <c r="AM1081" s="25"/>
      <c r="AN1081" s="25"/>
      <c r="AO1081" s="25"/>
      <c r="AP1081" s="25"/>
    </row>
    <row r="1082" ht="15.75" customHeight="1">
      <c r="A1082" s="26"/>
      <c r="B1082" s="26"/>
      <c r="C1082" s="26"/>
      <c r="D1082" s="26"/>
      <c r="E1082" s="26"/>
      <c r="F1082" s="26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  <c r="AK1082" s="32"/>
      <c r="AL1082" s="25"/>
      <c r="AM1082" s="25"/>
      <c r="AN1082" s="25"/>
      <c r="AO1082" s="25"/>
      <c r="AP1082" s="25"/>
    </row>
    <row r="1083" ht="15.75" customHeight="1">
      <c r="A1083" s="16"/>
      <c r="B1083" s="16"/>
      <c r="C1083" s="16"/>
      <c r="D1083" s="16"/>
      <c r="E1083" s="16"/>
      <c r="F1083" s="16"/>
      <c r="G1083" s="16"/>
      <c r="H1083" s="16"/>
      <c r="I1083" s="16"/>
      <c r="J1083" s="16"/>
      <c r="K1083" s="16"/>
      <c r="L1083" s="16"/>
      <c r="M1083" s="16"/>
      <c r="N1083" s="16"/>
      <c r="O1083" s="16"/>
      <c r="P1083" s="16"/>
      <c r="Q1083" s="16"/>
      <c r="R1083" s="16"/>
      <c r="S1083" s="16"/>
      <c r="T1083" s="16"/>
      <c r="U1083" s="16"/>
      <c r="V1083" s="16"/>
      <c r="W1083" s="16"/>
      <c r="X1083" s="16"/>
      <c r="Y1083" s="16"/>
      <c r="Z1083" s="16"/>
      <c r="AA1083" s="16"/>
      <c r="AB1083" s="16"/>
      <c r="AC1083" s="16"/>
      <c r="AD1083" s="16"/>
      <c r="AE1083" s="16"/>
      <c r="AF1083" s="16"/>
      <c r="AG1083" s="16"/>
      <c r="AH1083" s="16"/>
      <c r="AI1083" s="16"/>
      <c r="AJ1083" s="16"/>
      <c r="AK1083" s="24"/>
      <c r="AL1083" s="25"/>
      <c r="AM1083" s="25"/>
      <c r="AN1083" s="25"/>
      <c r="AO1083" s="25"/>
      <c r="AP1083" s="25"/>
    </row>
    <row r="1084" ht="15.75" customHeight="1">
      <c r="A1084" s="26"/>
      <c r="B1084" s="26"/>
      <c r="C1084" s="26"/>
      <c r="D1084" s="26"/>
      <c r="E1084" s="26"/>
      <c r="F1084" s="26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32"/>
      <c r="AL1084" s="25"/>
      <c r="AM1084" s="25"/>
      <c r="AN1084" s="25"/>
      <c r="AO1084" s="25"/>
      <c r="AP1084" s="25"/>
    </row>
    <row r="1085" ht="15.75" customHeight="1">
      <c r="A1085" s="16"/>
      <c r="B1085" s="16"/>
      <c r="C1085" s="16"/>
      <c r="D1085" s="16"/>
      <c r="E1085" s="16"/>
      <c r="F1085" s="16"/>
      <c r="G1085" s="16"/>
      <c r="H1085" s="16"/>
      <c r="I1085" s="16"/>
      <c r="J1085" s="16"/>
      <c r="K1085" s="16"/>
      <c r="L1085" s="16"/>
      <c r="M1085" s="16"/>
      <c r="N1085" s="16"/>
      <c r="O1085" s="16"/>
      <c r="P1085" s="16"/>
      <c r="Q1085" s="16"/>
      <c r="R1085" s="16"/>
      <c r="S1085" s="16"/>
      <c r="T1085" s="16"/>
      <c r="U1085" s="16"/>
      <c r="V1085" s="16"/>
      <c r="W1085" s="16"/>
      <c r="X1085" s="16"/>
      <c r="Y1085" s="16"/>
      <c r="Z1085" s="16"/>
      <c r="AA1085" s="16"/>
      <c r="AB1085" s="16"/>
      <c r="AC1085" s="16"/>
      <c r="AD1085" s="16"/>
      <c r="AE1085" s="16"/>
      <c r="AF1085" s="16"/>
      <c r="AG1085" s="16"/>
      <c r="AH1085" s="16"/>
      <c r="AI1085" s="16"/>
      <c r="AJ1085" s="16"/>
      <c r="AK1085" s="24"/>
      <c r="AL1085" s="25"/>
      <c r="AM1085" s="25"/>
      <c r="AN1085" s="25"/>
      <c r="AO1085" s="25"/>
      <c r="AP1085" s="25"/>
    </row>
    <row r="1086" ht="15.75" customHeight="1">
      <c r="A1086" s="26"/>
      <c r="B1086" s="26"/>
      <c r="C1086" s="26"/>
      <c r="D1086" s="26"/>
      <c r="E1086" s="26"/>
      <c r="F1086" s="26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  <c r="AK1086" s="32"/>
      <c r="AL1086" s="25"/>
      <c r="AM1086" s="25"/>
      <c r="AN1086" s="25"/>
      <c r="AO1086" s="25"/>
      <c r="AP1086" s="25"/>
    </row>
    <row r="1087" ht="15.75" customHeight="1">
      <c r="A1087" s="16"/>
      <c r="B1087" s="16"/>
      <c r="C1087" s="16"/>
      <c r="D1087" s="16"/>
      <c r="E1087" s="16"/>
      <c r="F1087" s="16"/>
      <c r="G1087" s="16"/>
      <c r="H1087" s="16"/>
      <c r="I1087" s="16"/>
      <c r="J1087" s="16"/>
      <c r="K1087" s="16"/>
      <c r="L1087" s="16"/>
      <c r="M1087" s="16"/>
      <c r="N1087" s="16"/>
      <c r="O1087" s="16"/>
      <c r="P1087" s="16"/>
      <c r="Q1087" s="16"/>
      <c r="R1087" s="16"/>
      <c r="S1087" s="16"/>
      <c r="T1087" s="16"/>
      <c r="U1087" s="16"/>
      <c r="V1087" s="16"/>
      <c r="W1087" s="16"/>
      <c r="X1087" s="16"/>
      <c r="Y1087" s="16"/>
      <c r="Z1087" s="16"/>
      <c r="AA1087" s="16"/>
      <c r="AB1087" s="16"/>
      <c r="AC1087" s="16"/>
      <c r="AD1087" s="16"/>
      <c r="AE1087" s="16"/>
      <c r="AF1087" s="16"/>
      <c r="AG1087" s="16"/>
      <c r="AH1087" s="16"/>
      <c r="AI1087" s="16"/>
      <c r="AJ1087" s="16"/>
      <c r="AK1087" s="24"/>
      <c r="AL1087" s="25"/>
      <c r="AM1087" s="25"/>
      <c r="AN1087" s="25"/>
      <c r="AO1087" s="25"/>
      <c r="AP1087" s="25"/>
    </row>
    <row r="1088" ht="15.75" customHeight="1">
      <c r="A1088" s="26"/>
      <c r="B1088" s="26"/>
      <c r="C1088" s="26"/>
      <c r="D1088" s="26"/>
      <c r="E1088" s="26"/>
      <c r="F1088" s="26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  <c r="AK1088" s="32"/>
      <c r="AL1088" s="25"/>
      <c r="AM1088" s="25"/>
      <c r="AN1088" s="25"/>
      <c r="AO1088" s="25"/>
      <c r="AP1088" s="25"/>
    </row>
    <row r="1089" ht="15.75" customHeight="1">
      <c r="A1089" s="16"/>
      <c r="B1089" s="16"/>
      <c r="C1089" s="16"/>
      <c r="D1089" s="16"/>
      <c r="E1089" s="16"/>
      <c r="F1089" s="16"/>
      <c r="G1089" s="16"/>
      <c r="H1089" s="16"/>
      <c r="I1089" s="16"/>
      <c r="J1089" s="16"/>
      <c r="K1089" s="16"/>
      <c r="L1089" s="16"/>
      <c r="M1089" s="16"/>
      <c r="N1089" s="16"/>
      <c r="O1089" s="16"/>
      <c r="P1089" s="16"/>
      <c r="Q1089" s="16"/>
      <c r="R1089" s="16"/>
      <c r="S1089" s="16"/>
      <c r="T1089" s="16"/>
      <c r="U1089" s="16"/>
      <c r="V1089" s="16"/>
      <c r="W1089" s="16"/>
      <c r="X1089" s="16"/>
      <c r="Y1089" s="16"/>
      <c r="Z1089" s="16"/>
      <c r="AA1089" s="16"/>
      <c r="AB1089" s="16"/>
      <c r="AC1089" s="16"/>
      <c r="AD1089" s="16"/>
      <c r="AE1089" s="16"/>
      <c r="AF1089" s="16"/>
      <c r="AG1089" s="16"/>
      <c r="AH1089" s="16"/>
      <c r="AI1089" s="16"/>
      <c r="AJ1089" s="16"/>
      <c r="AK1089" s="24"/>
      <c r="AL1089" s="25"/>
      <c r="AM1089" s="25"/>
      <c r="AN1089" s="25"/>
      <c r="AO1089" s="25"/>
      <c r="AP1089" s="25"/>
    </row>
    <row r="1090" ht="15.75" customHeight="1">
      <c r="A1090" s="26"/>
      <c r="B1090" s="26"/>
      <c r="C1090" s="26"/>
      <c r="D1090" s="26"/>
      <c r="E1090" s="26"/>
      <c r="F1090" s="26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32"/>
      <c r="AL1090" s="25"/>
      <c r="AM1090" s="25"/>
      <c r="AN1090" s="25"/>
      <c r="AO1090" s="25"/>
      <c r="AP1090" s="25"/>
    </row>
    <row r="1091" ht="15.75" customHeight="1">
      <c r="A1091" s="16"/>
      <c r="B1091" s="16"/>
      <c r="C1091" s="16"/>
      <c r="D1091" s="16"/>
      <c r="E1091" s="16"/>
      <c r="F1091" s="16"/>
      <c r="G1091" s="16"/>
      <c r="H1091" s="16"/>
      <c r="I1091" s="16"/>
      <c r="J1091" s="16"/>
      <c r="K1091" s="16"/>
      <c r="L1091" s="16"/>
      <c r="M1091" s="16"/>
      <c r="N1091" s="16"/>
      <c r="O1091" s="16"/>
      <c r="P1091" s="16"/>
      <c r="Q1091" s="16"/>
      <c r="R1091" s="16"/>
      <c r="S1091" s="16"/>
      <c r="T1091" s="16"/>
      <c r="U1091" s="16"/>
      <c r="V1091" s="16"/>
      <c r="W1091" s="16"/>
      <c r="X1091" s="16"/>
      <c r="Y1091" s="16"/>
      <c r="Z1091" s="16"/>
      <c r="AA1091" s="16"/>
      <c r="AB1091" s="16"/>
      <c r="AC1091" s="16"/>
      <c r="AD1091" s="16"/>
      <c r="AE1091" s="16"/>
      <c r="AF1091" s="16"/>
      <c r="AG1091" s="16"/>
      <c r="AH1091" s="16"/>
      <c r="AI1091" s="16"/>
      <c r="AJ1091" s="16"/>
      <c r="AK1091" s="24"/>
      <c r="AL1091" s="25"/>
      <c r="AM1091" s="25"/>
      <c r="AN1091" s="25"/>
      <c r="AO1091" s="25"/>
      <c r="AP1091" s="25"/>
    </row>
    <row r="1092" ht="15.75" customHeight="1">
      <c r="A1092" s="26"/>
      <c r="B1092" s="26"/>
      <c r="C1092" s="26"/>
      <c r="D1092" s="26"/>
      <c r="E1092" s="26"/>
      <c r="F1092" s="26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32"/>
      <c r="AL1092" s="25"/>
      <c r="AM1092" s="25"/>
      <c r="AN1092" s="25"/>
      <c r="AO1092" s="25"/>
      <c r="AP1092" s="25"/>
    </row>
    <row r="1093" ht="15.75" customHeight="1">
      <c r="A1093" s="16"/>
      <c r="B1093" s="16"/>
      <c r="C1093" s="16"/>
      <c r="D1093" s="16"/>
      <c r="E1093" s="16"/>
      <c r="F1093" s="16"/>
      <c r="G1093" s="16"/>
      <c r="H1093" s="16"/>
      <c r="I1093" s="16"/>
      <c r="J1093" s="16"/>
      <c r="K1093" s="16"/>
      <c r="L1093" s="16"/>
      <c r="M1093" s="16"/>
      <c r="N1093" s="16"/>
      <c r="O1093" s="16"/>
      <c r="P1093" s="16"/>
      <c r="Q1093" s="16"/>
      <c r="R1093" s="16"/>
      <c r="S1093" s="16"/>
      <c r="T1093" s="16"/>
      <c r="U1093" s="16"/>
      <c r="V1093" s="16"/>
      <c r="W1093" s="16"/>
      <c r="X1093" s="16"/>
      <c r="Y1093" s="16"/>
      <c r="Z1093" s="16"/>
      <c r="AA1093" s="16"/>
      <c r="AB1093" s="16"/>
      <c r="AC1093" s="16"/>
      <c r="AD1093" s="16"/>
      <c r="AE1093" s="16"/>
      <c r="AF1093" s="16"/>
      <c r="AG1093" s="16"/>
      <c r="AH1093" s="16"/>
      <c r="AI1093" s="16"/>
      <c r="AJ1093" s="16"/>
      <c r="AK1093" s="24"/>
      <c r="AL1093" s="25"/>
      <c r="AM1093" s="25"/>
      <c r="AN1093" s="25"/>
      <c r="AO1093" s="25"/>
      <c r="AP1093" s="25"/>
    </row>
    <row r="1094" ht="15.75" customHeight="1">
      <c r="A1094" s="26"/>
      <c r="B1094" s="26"/>
      <c r="C1094" s="26"/>
      <c r="D1094" s="26"/>
      <c r="E1094" s="26"/>
      <c r="F1094" s="26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32"/>
      <c r="AL1094" s="25"/>
      <c r="AM1094" s="25"/>
      <c r="AN1094" s="25"/>
      <c r="AO1094" s="25"/>
      <c r="AP1094" s="25"/>
    </row>
    <row r="1095" ht="15.75" customHeight="1">
      <c r="A1095" s="16"/>
      <c r="B1095" s="16"/>
      <c r="C1095" s="16"/>
      <c r="D1095" s="16"/>
      <c r="E1095" s="16"/>
      <c r="F1095" s="16"/>
      <c r="G1095" s="16"/>
      <c r="H1095" s="16"/>
      <c r="I1095" s="16"/>
      <c r="J1095" s="16"/>
      <c r="K1095" s="16"/>
      <c r="L1095" s="16"/>
      <c r="M1095" s="16"/>
      <c r="N1095" s="16"/>
      <c r="O1095" s="16"/>
      <c r="P1095" s="16"/>
      <c r="Q1095" s="16"/>
      <c r="R1095" s="16"/>
      <c r="S1095" s="16"/>
      <c r="T1095" s="16"/>
      <c r="U1095" s="16"/>
      <c r="V1095" s="16"/>
      <c r="W1095" s="16"/>
      <c r="X1095" s="16"/>
      <c r="Y1095" s="16"/>
      <c r="Z1095" s="16"/>
      <c r="AA1095" s="16"/>
      <c r="AB1095" s="16"/>
      <c r="AC1095" s="16"/>
      <c r="AD1095" s="16"/>
      <c r="AE1095" s="16"/>
      <c r="AF1095" s="16"/>
      <c r="AG1095" s="16"/>
      <c r="AH1095" s="16"/>
      <c r="AI1095" s="16"/>
      <c r="AJ1095" s="16"/>
      <c r="AK1095" s="24"/>
      <c r="AL1095" s="25"/>
      <c r="AM1095" s="25"/>
      <c r="AN1095" s="25"/>
      <c r="AO1095" s="25"/>
      <c r="AP1095" s="25"/>
    </row>
    <row r="1096" ht="15.75" customHeight="1">
      <c r="A1096" s="26"/>
      <c r="B1096" s="26"/>
      <c r="C1096" s="26"/>
      <c r="D1096" s="26"/>
      <c r="E1096" s="26"/>
      <c r="F1096" s="26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  <c r="AK1096" s="32"/>
      <c r="AL1096" s="25"/>
      <c r="AM1096" s="25"/>
      <c r="AN1096" s="25"/>
      <c r="AO1096" s="25"/>
      <c r="AP1096" s="25"/>
    </row>
    <row r="1097" ht="15.75" customHeight="1">
      <c r="A1097" s="16"/>
      <c r="B1097" s="16"/>
      <c r="C1097" s="16"/>
      <c r="D1097" s="16"/>
      <c r="E1097" s="16"/>
      <c r="F1097" s="16"/>
      <c r="G1097" s="16"/>
      <c r="H1097" s="16"/>
      <c r="I1097" s="16"/>
      <c r="J1097" s="16"/>
      <c r="K1097" s="16"/>
      <c r="L1097" s="16"/>
      <c r="M1097" s="16"/>
      <c r="N1097" s="16"/>
      <c r="O1097" s="16"/>
      <c r="P1097" s="16"/>
      <c r="Q1097" s="16"/>
      <c r="R1097" s="16"/>
      <c r="S1097" s="16"/>
      <c r="T1097" s="16"/>
      <c r="U1097" s="16"/>
      <c r="V1097" s="16"/>
      <c r="W1097" s="16"/>
      <c r="X1097" s="16"/>
      <c r="Y1097" s="16"/>
      <c r="Z1097" s="16"/>
      <c r="AA1097" s="16"/>
      <c r="AB1097" s="16"/>
      <c r="AC1097" s="16"/>
      <c r="AD1097" s="16"/>
      <c r="AE1097" s="16"/>
      <c r="AF1097" s="16"/>
      <c r="AG1097" s="16"/>
      <c r="AH1097" s="16"/>
      <c r="AI1097" s="16"/>
      <c r="AJ1097" s="16"/>
      <c r="AK1097" s="24"/>
      <c r="AL1097" s="25"/>
      <c r="AM1097" s="25"/>
      <c r="AN1097" s="25"/>
      <c r="AO1097" s="25"/>
      <c r="AP1097" s="25"/>
    </row>
    <row r="1098" ht="15.75" customHeight="1">
      <c r="A1098" s="26"/>
      <c r="B1098" s="26"/>
      <c r="C1098" s="26"/>
      <c r="D1098" s="26"/>
      <c r="E1098" s="26"/>
      <c r="F1098" s="26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  <c r="AK1098" s="32"/>
      <c r="AL1098" s="25"/>
      <c r="AM1098" s="25"/>
      <c r="AN1098" s="25"/>
      <c r="AO1098" s="25"/>
      <c r="AP1098" s="25"/>
    </row>
    <row r="1099" ht="15.75" customHeight="1">
      <c r="A1099" s="16"/>
      <c r="B1099" s="16"/>
      <c r="C1099" s="16"/>
      <c r="D1099" s="16"/>
      <c r="E1099" s="16"/>
      <c r="F1099" s="16"/>
      <c r="G1099" s="16"/>
      <c r="H1099" s="16"/>
      <c r="I1099" s="16"/>
      <c r="J1099" s="16"/>
      <c r="K1099" s="16"/>
      <c r="L1099" s="16"/>
      <c r="M1099" s="16"/>
      <c r="N1099" s="16"/>
      <c r="O1099" s="16"/>
      <c r="P1099" s="16"/>
      <c r="Q1099" s="16"/>
      <c r="R1099" s="16"/>
      <c r="S1099" s="16"/>
      <c r="T1099" s="16"/>
      <c r="U1099" s="16"/>
      <c r="V1099" s="16"/>
      <c r="W1099" s="16"/>
      <c r="X1099" s="16"/>
      <c r="Y1099" s="16"/>
      <c r="Z1099" s="16"/>
      <c r="AA1099" s="16"/>
      <c r="AB1099" s="16"/>
      <c r="AC1099" s="16"/>
      <c r="AD1099" s="16"/>
      <c r="AE1099" s="16"/>
      <c r="AF1099" s="16"/>
      <c r="AG1099" s="16"/>
      <c r="AH1099" s="16"/>
      <c r="AI1099" s="16"/>
      <c r="AJ1099" s="16"/>
      <c r="AK1099" s="24"/>
      <c r="AL1099" s="25"/>
      <c r="AM1099" s="25"/>
      <c r="AN1099" s="25"/>
      <c r="AO1099" s="25"/>
      <c r="AP1099" s="25"/>
    </row>
    <row r="1100" ht="15.75" customHeight="1">
      <c r="A1100" s="26"/>
      <c r="B1100" s="26"/>
      <c r="C1100" s="26"/>
      <c r="D1100" s="26"/>
      <c r="E1100" s="26"/>
      <c r="F1100" s="26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  <c r="AK1100" s="32"/>
      <c r="AL1100" s="25"/>
      <c r="AM1100" s="25"/>
      <c r="AN1100" s="25"/>
      <c r="AO1100" s="25"/>
      <c r="AP1100" s="25"/>
    </row>
    <row r="1101" ht="15.75" customHeight="1">
      <c r="A1101" s="16"/>
      <c r="B1101" s="16"/>
      <c r="C1101" s="16"/>
      <c r="D1101" s="16"/>
      <c r="E1101" s="16"/>
      <c r="F1101" s="16"/>
      <c r="G1101" s="16"/>
      <c r="H1101" s="16"/>
      <c r="I1101" s="16"/>
      <c r="J1101" s="16"/>
      <c r="K1101" s="16"/>
      <c r="L1101" s="16"/>
      <c r="M1101" s="16"/>
      <c r="N1101" s="16"/>
      <c r="O1101" s="16"/>
      <c r="P1101" s="16"/>
      <c r="Q1101" s="16"/>
      <c r="R1101" s="16"/>
      <c r="S1101" s="16"/>
      <c r="T1101" s="16"/>
      <c r="U1101" s="16"/>
      <c r="V1101" s="16"/>
      <c r="W1101" s="16"/>
      <c r="X1101" s="16"/>
      <c r="Y1101" s="16"/>
      <c r="Z1101" s="16"/>
      <c r="AA1101" s="16"/>
      <c r="AB1101" s="16"/>
      <c r="AC1101" s="16"/>
      <c r="AD1101" s="16"/>
      <c r="AE1101" s="16"/>
      <c r="AF1101" s="16"/>
      <c r="AG1101" s="16"/>
      <c r="AH1101" s="16"/>
      <c r="AI1101" s="16"/>
      <c r="AJ1101" s="16"/>
      <c r="AK1101" s="24"/>
      <c r="AL1101" s="25"/>
      <c r="AM1101" s="25"/>
      <c r="AN1101" s="25"/>
      <c r="AO1101" s="25"/>
      <c r="AP1101" s="25"/>
    </row>
    <row r="1102" ht="15.75" customHeight="1">
      <c r="A1102" s="26"/>
      <c r="B1102" s="26"/>
      <c r="C1102" s="26"/>
      <c r="D1102" s="26"/>
      <c r="E1102" s="26"/>
      <c r="F1102" s="26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  <c r="AK1102" s="32"/>
      <c r="AL1102" s="25"/>
      <c r="AM1102" s="25"/>
      <c r="AN1102" s="25"/>
      <c r="AO1102" s="25"/>
      <c r="AP1102" s="25"/>
    </row>
    <row r="1103" ht="15.75" customHeight="1">
      <c r="A1103" s="16"/>
      <c r="B1103" s="16"/>
      <c r="C1103" s="16"/>
      <c r="D1103" s="16"/>
      <c r="E1103" s="16"/>
      <c r="F1103" s="16"/>
      <c r="G1103" s="16"/>
      <c r="H1103" s="16"/>
      <c r="I1103" s="16"/>
      <c r="J1103" s="16"/>
      <c r="K1103" s="16"/>
      <c r="L1103" s="16"/>
      <c r="M1103" s="16"/>
      <c r="N1103" s="16"/>
      <c r="O1103" s="16"/>
      <c r="P1103" s="16"/>
      <c r="Q1103" s="16"/>
      <c r="R1103" s="16"/>
      <c r="S1103" s="16"/>
      <c r="T1103" s="16"/>
      <c r="U1103" s="16"/>
      <c r="V1103" s="16"/>
      <c r="W1103" s="16"/>
      <c r="X1103" s="16"/>
      <c r="Y1103" s="16"/>
      <c r="Z1103" s="16"/>
      <c r="AA1103" s="16"/>
      <c r="AB1103" s="16"/>
      <c r="AC1103" s="16"/>
      <c r="AD1103" s="16"/>
      <c r="AE1103" s="16"/>
      <c r="AF1103" s="16"/>
      <c r="AG1103" s="16"/>
      <c r="AH1103" s="16"/>
      <c r="AI1103" s="16"/>
      <c r="AJ1103" s="16"/>
      <c r="AK1103" s="24"/>
      <c r="AL1103" s="25"/>
      <c r="AM1103" s="25"/>
      <c r="AN1103" s="25"/>
      <c r="AO1103" s="25"/>
      <c r="AP1103" s="25"/>
    </row>
    <row r="1104" ht="15.75" customHeight="1">
      <c r="A1104" s="26"/>
      <c r="B1104" s="26"/>
      <c r="C1104" s="26"/>
      <c r="D1104" s="26"/>
      <c r="E1104" s="26"/>
      <c r="F1104" s="26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  <c r="AK1104" s="32"/>
      <c r="AL1104" s="25"/>
      <c r="AM1104" s="25"/>
      <c r="AN1104" s="25"/>
      <c r="AO1104" s="25"/>
      <c r="AP1104" s="25"/>
    </row>
    <row r="1105" ht="15.75" customHeight="1">
      <c r="A1105" s="16"/>
      <c r="B1105" s="16"/>
      <c r="C1105" s="16"/>
      <c r="D1105" s="16"/>
      <c r="E1105" s="16"/>
      <c r="F1105" s="16"/>
      <c r="G1105" s="16"/>
      <c r="H1105" s="16"/>
      <c r="I1105" s="16"/>
      <c r="J1105" s="16"/>
      <c r="K1105" s="16"/>
      <c r="L1105" s="16"/>
      <c r="M1105" s="16"/>
      <c r="N1105" s="16"/>
      <c r="O1105" s="16"/>
      <c r="P1105" s="16"/>
      <c r="Q1105" s="16"/>
      <c r="R1105" s="16"/>
      <c r="S1105" s="16"/>
      <c r="T1105" s="16"/>
      <c r="U1105" s="16"/>
      <c r="V1105" s="16"/>
      <c r="W1105" s="16"/>
      <c r="X1105" s="16"/>
      <c r="Y1105" s="16"/>
      <c r="Z1105" s="16"/>
      <c r="AA1105" s="16"/>
      <c r="AB1105" s="16"/>
      <c r="AC1105" s="16"/>
      <c r="AD1105" s="16"/>
      <c r="AE1105" s="16"/>
      <c r="AF1105" s="16"/>
      <c r="AG1105" s="16"/>
      <c r="AH1105" s="16"/>
      <c r="AI1105" s="16"/>
      <c r="AJ1105" s="16"/>
      <c r="AK1105" s="24"/>
      <c r="AL1105" s="25"/>
      <c r="AM1105" s="25"/>
      <c r="AN1105" s="25"/>
      <c r="AO1105" s="25"/>
      <c r="AP1105" s="25"/>
    </row>
    <row r="1106" ht="15.75" customHeight="1">
      <c r="A1106" s="26"/>
      <c r="B1106" s="26"/>
      <c r="C1106" s="26"/>
      <c r="D1106" s="26"/>
      <c r="E1106" s="26"/>
      <c r="F1106" s="26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  <c r="AK1106" s="32"/>
      <c r="AL1106" s="25"/>
      <c r="AM1106" s="25"/>
      <c r="AN1106" s="25"/>
      <c r="AO1106" s="25"/>
      <c r="AP1106" s="25"/>
    </row>
    <row r="1107" ht="15.75" customHeight="1">
      <c r="A1107" s="16"/>
      <c r="B1107" s="16"/>
      <c r="C1107" s="16"/>
      <c r="D1107" s="16"/>
      <c r="E1107" s="16"/>
      <c r="F1107" s="16"/>
      <c r="G1107" s="16"/>
      <c r="H1107" s="16"/>
      <c r="I1107" s="16"/>
      <c r="J1107" s="16"/>
      <c r="K1107" s="16"/>
      <c r="L1107" s="16"/>
      <c r="M1107" s="16"/>
      <c r="N1107" s="16"/>
      <c r="O1107" s="16"/>
      <c r="P1107" s="16"/>
      <c r="Q1107" s="16"/>
      <c r="R1107" s="16"/>
      <c r="S1107" s="16"/>
      <c r="T1107" s="16"/>
      <c r="U1107" s="16"/>
      <c r="V1107" s="16"/>
      <c r="W1107" s="16"/>
      <c r="X1107" s="16"/>
      <c r="Y1107" s="16"/>
      <c r="Z1107" s="16"/>
      <c r="AA1107" s="16"/>
      <c r="AB1107" s="16"/>
      <c r="AC1107" s="16"/>
      <c r="AD1107" s="16"/>
      <c r="AE1107" s="16"/>
      <c r="AF1107" s="16"/>
      <c r="AG1107" s="16"/>
      <c r="AH1107" s="16"/>
      <c r="AI1107" s="16"/>
      <c r="AJ1107" s="16"/>
      <c r="AK1107" s="24"/>
      <c r="AL1107" s="25"/>
      <c r="AM1107" s="25"/>
      <c r="AN1107" s="25"/>
      <c r="AO1107" s="25"/>
      <c r="AP1107" s="25"/>
    </row>
    <row r="1108" ht="15.75" customHeight="1">
      <c r="A1108" s="26"/>
      <c r="B1108" s="26"/>
      <c r="C1108" s="26"/>
      <c r="D1108" s="26"/>
      <c r="E1108" s="26"/>
      <c r="F1108" s="26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32"/>
      <c r="AL1108" s="25"/>
      <c r="AM1108" s="25"/>
      <c r="AN1108" s="25"/>
      <c r="AO1108" s="25"/>
      <c r="AP1108" s="25"/>
    </row>
    <row r="1109" ht="15.75" customHeight="1">
      <c r="A1109" s="16"/>
      <c r="B1109" s="16"/>
      <c r="C1109" s="16"/>
      <c r="D1109" s="16"/>
      <c r="E1109" s="16"/>
      <c r="F1109" s="16"/>
      <c r="G1109" s="16"/>
      <c r="H1109" s="16"/>
      <c r="I1109" s="16"/>
      <c r="J1109" s="16"/>
      <c r="K1109" s="16"/>
      <c r="L1109" s="16"/>
      <c r="M1109" s="16"/>
      <c r="N1109" s="16"/>
      <c r="O1109" s="16"/>
      <c r="P1109" s="16"/>
      <c r="Q1109" s="16"/>
      <c r="R1109" s="16"/>
      <c r="S1109" s="16"/>
      <c r="T1109" s="16"/>
      <c r="U1109" s="16"/>
      <c r="V1109" s="16"/>
      <c r="W1109" s="16"/>
      <c r="X1109" s="16"/>
      <c r="Y1109" s="16"/>
      <c r="Z1109" s="16"/>
      <c r="AA1109" s="16"/>
      <c r="AB1109" s="16"/>
      <c r="AC1109" s="16"/>
      <c r="AD1109" s="16"/>
      <c r="AE1109" s="16"/>
      <c r="AF1109" s="16"/>
      <c r="AG1109" s="16"/>
      <c r="AH1109" s="16"/>
      <c r="AI1109" s="16"/>
      <c r="AJ1109" s="16"/>
      <c r="AK1109" s="24"/>
      <c r="AL1109" s="25"/>
      <c r="AM1109" s="25"/>
      <c r="AN1109" s="25"/>
      <c r="AO1109" s="25"/>
      <c r="AP1109" s="25"/>
    </row>
    <row r="1110" ht="15.75" customHeight="1">
      <c r="A1110" s="26"/>
      <c r="B1110" s="26"/>
      <c r="C1110" s="26"/>
      <c r="D1110" s="26"/>
      <c r="E1110" s="26"/>
      <c r="F1110" s="26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  <c r="AK1110" s="32"/>
      <c r="AL1110" s="25"/>
      <c r="AM1110" s="25"/>
      <c r="AN1110" s="25"/>
      <c r="AO1110" s="25"/>
      <c r="AP1110" s="25"/>
    </row>
    <row r="1111" ht="15.75" customHeight="1">
      <c r="A1111" s="16"/>
      <c r="B1111" s="16"/>
      <c r="C1111" s="16"/>
      <c r="D1111" s="16"/>
      <c r="E1111" s="16"/>
      <c r="F1111" s="16"/>
      <c r="G1111" s="16"/>
      <c r="H1111" s="16"/>
      <c r="I1111" s="16"/>
      <c r="J1111" s="16"/>
      <c r="K1111" s="16"/>
      <c r="L1111" s="16"/>
      <c r="M1111" s="16"/>
      <c r="N1111" s="16"/>
      <c r="O1111" s="16"/>
      <c r="P1111" s="16"/>
      <c r="Q1111" s="16"/>
      <c r="R1111" s="16"/>
      <c r="S1111" s="16"/>
      <c r="T1111" s="16"/>
      <c r="U1111" s="16"/>
      <c r="V1111" s="16"/>
      <c r="W1111" s="16"/>
      <c r="X1111" s="16"/>
      <c r="Y1111" s="16"/>
      <c r="Z1111" s="16"/>
      <c r="AA1111" s="16"/>
      <c r="AB1111" s="16"/>
      <c r="AC1111" s="16"/>
      <c r="AD1111" s="16"/>
      <c r="AE1111" s="16"/>
      <c r="AF1111" s="16"/>
      <c r="AG1111" s="16"/>
      <c r="AH1111" s="16"/>
      <c r="AI1111" s="16"/>
      <c r="AJ1111" s="16"/>
      <c r="AK1111" s="24"/>
      <c r="AL1111" s="25"/>
      <c r="AM1111" s="25"/>
      <c r="AN1111" s="25"/>
      <c r="AO1111" s="25"/>
      <c r="AP1111" s="25"/>
    </row>
    <row r="1112" ht="15.75" customHeight="1">
      <c r="A1112" s="26"/>
      <c r="B1112" s="26"/>
      <c r="C1112" s="26"/>
      <c r="D1112" s="26"/>
      <c r="E1112" s="26"/>
      <c r="F1112" s="26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  <c r="AK1112" s="32"/>
      <c r="AL1112" s="25"/>
      <c r="AM1112" s="25"/>
      <c r="AN1112" s="25"/>
      <c r="AO1112" s="25"/>
      <c r="AP1112" s="25"/>
    </row>
    <row r="1113" ht="15.75" customHeight="1">
      <c r="A1113" s="16"/>
      <c r="B1113" s="16"/>
      <c r="C1113" s="16"/>
      <c r="D1113" s="16"/>
      <c r="E1113" s="16"/>
      <c r="F1113" s="16"/>
      <c r="G1113" s="16"/>
      <c r="H1113" s="16"/>
      <c r="I1113" s="16"/>
      <c r="J1113" s="16"/>
      <c r="K1113" s="16"/>
      <c r="L1113" s="16"/>
      <c r="M1113" s="16"/>
      <c r="N1113" s="16"/>
      <c r="O1113" s="16"/>
      <c r="P1113" s="16"/>
      <c r="Q1113" s="16"/>
      <c r="R1113" s="16"/>
      <c r="S1113" s="16"/>
      <c r="T1113" s="16"/>
      <c r="U1113" s="16"/>
      <c r="V1113" s="16"/>
      <c r="W1113" s="16"/>
      <c r="X1113" s="16"/>
      <c r="Y1113" s="16"/>
      <c r="Z1113" s="16"/>
      <c r="AA1113" s="16"/>
      <c r="AB1113" s="16"/>
      <c r="AC1113" s="16"/>
      <c r="AD1113" s="16"/>
      <c r="AE1113" s="16"/>
      <c r="AF1113" s="16"/>
      <c r="AG1113" s="16"/>
      <c r="AH1113" s="16"/>
      <c r="AI1113" s="16"/>
      <c r="AJ1113" s="16"/>
      <c r="AK1113" s="24"/>
      <c r="AL1113" s="25"/>
      <c r="AM1113" s="25"/>
      <c r="AN1113" s="25"/>
      <c r="AO1113" s="25"/>
      <c r="AP1113" s="25"/>
    </row>
    <row r="1114" ht="15.75" customHeight="1">
      <c r="A1114" s="26"/>
      <c r="B1114" s="26"/>
      <c r="C1114" s="26"/>
      <c r="D1114" s="26"/>
      <c r="E1114" s="26"/>
      <c r="F1114" s="26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  <c r="AK1114" s="32"/>
      <c r="AL1114" s="25"/>
      <c r="AM1114" s="25"/>
      <c r="AN1114" s="25"/>
      <c r="AO1114" s="25"/>
      <c r="AP1114" s="25"/>
    </row>
    <row r="1115" ht="15.75" customHeight="1">
      <c r="A1115" s="16"/>
      <c r="B1115" s="16"/>
      <c r="C1115" s="16"/>
      <c r="D1115" s="16"/>
      <c r="E1115" s="16"/>
      <c r="F1115" s="16"/>
      <c r="G1115" s="16"/>
      <c r="H1115" s="16"/>
      <c r="I1115" s="16"/>
      <c r="J1115" s="16"/>
      <c r="K1115" s="16"/>
      <c r="L1115" s="16"/>
      <c r="M1115" s="16"/>
      <c r="N1115" s="16"/>
      <c r="O1115" s="16"/>
      <c r="P1115" s="16"/>
      <c r="Q1115" s="16"/>
      <c r="R1115" s="16"/>
      <c r="S1115" s="16"/>
      <c r="T1115" s="16"/>
      <c r="U1115" s="16"/>
      <c r="V1115" s="16"/>
      <c r="W1115" s="16"/>
      <c r="X1115" s="16"/>
      <c r="Y1115" s="16"/>
      <c r="Z1115" s="16"/>
      <c r="AA1115" s="16"/>
      <c r="AB1115" s="16"/>
      <c r="AC1115" s="16"/>
      <c r="AD1115" s="16"/>
      <c r="AE1115" s="16"/>
      <c r="AF1115" s="16"/>
      <c r="AG1115" s="16"/>
      <c r="AH1115" s="16"/>
      <c r="AI1115" s="16"/>
      <c r="AJ1115" s="16"/>
      <c r="AK1115" s="24"/>
      <c r="AL1115" s="25"/>
      <c r="AM1115" s="25"/>
      <c r="AN1115" s="25"/>
      <c r="AO1115" s="25"/>
      <c r="AP1115" s="25"/>
    </row>
    <row r="1116" ht="15.75" customHeight="1">
      <c r="A1116" s="26"/>
      <c r="B1116" s="26"/>
      <c r="C1116" s="26"/>
      <c r="D1116" s="26"/>
      <c r="E1116" s="26"/>
      <c r="F1116" s="26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  <c r="AK1116" s="32"/>
      <c r="AL1116" s="25"/>
      <c r="AM1116" s="25"/>
      <c r="AN1116" s="25"/>
      <c r="AO1116" s="25"/>
      <c r="AP1116" s="25"/>
    </row>
    <row r="1117" ht="15.75" customHeight="1">
      <c r="A1117" s="16"/>
      <c r="B1117" s="16"/>
      <c r="C1117" s="16"/>
      <c r="D1117" s="16"/>
      <c r="E1117" s="16"/>
      <c r="F1117" s="16"/>
      <c r="G1117" s="16"/>
      <c r="H1117" s="16"/>
      <c r="I1117" s="16"/>
      <c r="J1117" s="16"/>
      <c r="K1117" s="16"/>
      <c r="L1117" s="16"/>
      <c r="M1117" s="16"/>
      <c r="N1117" s="16"/>
      <c r="O1117" s="16"/>
      <c r="P1117" s="16"/>
      <c r="Q1117" s="16"/>
      <c r="R1117" s="16"/>
      <c r="S1117" s="16"/>
      <c r="T1117" s="16"/>
      <c r="U1117" s="16"/>
      <c r="V1117" s="16"/>
      <c r="W1117" s="16"/>
      <c r="X1117" s="16"/>
      <c r="Y1117" s="16"/>
      <c r="Z1117" s="16"/>
      <c r="AA1117" s="16"/>
      <c r="AB1117" s="16"/>
      <c r="AC1117" s="16"/>
      <c r="AD1117" s="16"/>
      <c r="AE1117" s="16"/>
      <c r="AF1117" s="16"/>
      <c r="AG1117" s="16"/>
      <c r="AH1117" s="16"/>
      <c r="AI1117" s="16"/>
      <c r="AJ1117" s="16"/>
      <c r="AK1117" s="24"/>
      <c r="AL1117" s="25"/>
      <c r="AM1117" s="25"/>
      <c r="AN1117" s="25"/>
      <c r="AO1117" s="25"/>
      <c r="AP1117" s="25"/>
    </row>
    <row r="1118" ht="15.75" customHeight="1">
      <c r="A1118" s="26"/>
      <c r="B1118" s="26"/>
      <c r="C1118" s="26"/>
      <c r="D1118" s="26"/>
      <c r="E1118" s="26"/>
      <c r="F1118" s="26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  <c r="AK1118" s="32"/>
      <c r="AL1118" s="25"/>
      <c r="AM1118" s="25"/>
      <c r="AN1118" s="25"/>
      <c r="AO1118" s="25"/>
      <c r="AP1118" s="25"/>
    </row>
    <row r="1119" ht="15.75" customHeight="1">
      <c r="A1119" s="16"/>
      <c r="B1119" s="16"/>
      <c r="C1119" s="16"/>
      <c r="D1119" s="16"/>
      <c r="E1119" s="16"/>
      <c r="F1119" s="16"/>
      <c r="G1119" s="16"/>
      <c r="H1119" s="16"/>
      <c r="I1119" s="16"/>
      <c r="J1119" s="16"/>
      <c r="K1119" s="16"/>
      <c r="L1119" s="16"/>
      <c r="M1119" s="16"/>
      <c r="N1119" s="16"/>
      <c r="O1119" s="16"/>
      <c r="P1119" s="16"/>
      <c r="Q1119" s="16"/>
      <c r="R1119" s="16"/>
      <c r="S1119" s="16"/>
      <c r="T1119" s="16"/>
      <c r="U1119" s="16"/>
      <c r="V1119" s="16"/>
      <c r="W1119" s="16"/>
      <c r="X1119" s="16"/>
      <c r="Y1119" s="16"/>
      <c r="Z1119" s="16"/>
      <c r="AA1119" s="16"/>
      <c r="AB1119" s="16"/>
      <c r="AC1119" s="16"/>
      <c r="AD1119" s="16"/>
      <c r="AE1119" s="16"/>
      <c r="AF1119" s="16"/>
      <c r="AG1119" s="16"/>
      <c r="AH1119" s="16"/>
      <c r="AI1119" s="16"/>
      <c r="AJ1119" s="16"/>
      <c r="AK1119" s="24"/>
      <c r="AL1119" s="25"/>
      <c r="AM1119" s="25"/>
      <c r="AN1119" s="25"/>
      <c r="AO1119" s="25"/>
      <c r="AP1119" s="25"/>
    </row>
    <row r="1120" ht="15.75" customHeight="1">
      <c r="A1120" s="26"/>
      <c r="B1120" s="26"/>
      <c r="C1120" s="26"/>
      <c r="D1120" s="26"/>
      <c r="E1120" s="26"/>
      <c r="F1120" s="26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32"/>
      <c r="AL1120" s="25"/>
      <c r="AM1120" s="25"/>
      <c r="AN1120" s="25"/>
      <c r="AO1120" s="25"/>
      <c r="AP1120" s="25"/>
    </row>
    <row r="1121" ht="15.75" customHeight="1">
      <c r="A1121" s="16"/>
      <c r="B1121" s="16"/>
      <c r="C1121" s="16"/>
      <c r="D1121" s="16"/>
      <c r="E1121" s="16"/>
      <c r="F1121" s="16"/>
      <c r="G1121" s="16"/>
      <c r="H1121" s="16"/>
      <c r="I1121" s="16"/>
      <c r="J1121" s="16"/>
      <c r="K1121" s="16"/>
      <c r="L1121" s="16"/>
      <c r="M1121" s="16"/>
      <c r="N1121" s="16"/>
      <c r="O1121" s="16"/>
      <c r="P1121" s="16"/>
      <c r="Q1121" s="16"/>
      <c r="R1121" s="16"/>
      <c r="S1121" s="16"/>
      <c r="T1121" s="16"/>
      <c r="U1121" s="16"/>
      <c r="V1121" s="16"/>
      <c r="W1121" s="16"/>
      <c r="X1121" s="16"/>
      <c r="Y1121" s="16"/>
      <c r="Z1121" s="16"/>
      <c r="AA1121" s="16"/>
      <c r="AB1121" s="16"/>
      <c r="AC1121" s="16"/>
      <c r="AD1121" s="16"/>
      <c r="AE1121" s="16"/>
      <c r="AF1121" s="16"/>
      <c r="AG1121" s="16"/>
      <c r="AH1121" s="16"/>
      <c r="AI1121" s="16"/>
      <c r="AJ1121" s="16"/>
      <c r="AK1121" s="24"/>
      <c r="AL1121" s="25"/>
      <c r="AM1121" s="25"/>
      <c r="AN1121" s="25"/>
      <c r="AO1121" s="25"/>
      <c r="AP1121" s="25"/>
    </row>
    <row r="1122" ht="15.75" customHeight="1">
      <c r="A1122" s="26"/>
      <c r="B1122" s="26"/>
      <c r="C1122" s="26"/>
      <c r="D1122" s="26"/>
      <c r="E1122" s="26"/>
      <c r="F1122" s="26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32"/>
      <c r="AL1122" s="25"/>
      <c r="AM1122" s="25"/>
      <c r="AN1122" s="25"/>
      <c r="AO1122" s="25"/>
      <c r="AP1122" s="25"/>
    </row>
    <row r="1123" ht="15.75" customHeight="1">
      <c r="A1123" s="16"/>
      <c r="B1123" s="16"/>
      <c r="C1123" s="16"/>
      <c r="D1123" s="16"/>
      <c r="E1123" s="16"/>
      <c r="F1123" s="16"/>
      <c r="G1123" s="16"/>
      <c r="H1123" s="16"/>
      <c r="I1123" s="16"/>
      <c r="J1123" s="16"/>
      <c r="K1123" s="16"/>
      <c r="L1123" s="16"/>
      <c r="M1123" s="16"/>
      <c r="N1123" s="16"/>
      <c r="O1123" s="16"/>
      <c r="P1123" s="16"/>
      <c r="Q1123" s="16"/>
      <c r="R1123" s="16"/>
      <c r="S1123" s="16"/>
      <c r="T1123" s="16"/>
      <c r="U1123" s="16"/>
      <c r="V1123" s="16"/>
      <c r="W1123" s="16"/>
      <c r="X1123" s="16"/>
      <c r="Y1123" s="16"/>
      <c r="Z1123" s="16"/>
      <c r="AA1123" s="16"/>
      <c r="AB1123" s="16"/>
      <c r="AC1123" s="16"/>
      <c r="AD1123" s="16"/>
      <c r="AE1123" s="16"/>
      <c r="AF1123" s="16"/>
      <c r="AG1123" s="16"/>
      <c r="AH1123" s="16"/>
      <c r="AI1123" s="16"/>
      <c r="AJ1123" s="16"/>
      <c r="AK1123" s="24"/>
      <c r="AL1123" s="25"/>
      <c r="AM1123" s="25"/>
      <c r="AN1123" s="25"/>
      <c r="AO1123" s="25"/>
      <c r="AP1123" s="25"/>
    </row>
    <row r="1124" ht="15.75" customHeight="1">
      <c r="A1124" s="26"/>
      <c r="B1124" s="26"/>
      <c r="C1124" s="26"/>
      <c r="D1124" s="26"/>
      <c r="E1124" s="26"/>
      <c r="F1124" s="26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32"/>
      <c r="AL1124" s="25"/>
      <c r="AM1124" s="25"/>
      <c r="AN1124" s="25"/>
      <c r="AO1124" s="25"/>
      <c r="AP1124" s="25"/>
    </row>
    <row r="1125" ht="15.75" customHeight="1">
      <c r="A1125" s="16"/>
      <c r="B1125" s="16"/>
      <c r="C1125" s="16"/>
      <c r="D1125" s="16"/>
      <c r="E1125" s="16"/>
      <c r="F1125" s="16"/>
      <c r="G1125" s="16"/>
      <c r="H1125" s="16"/>
      <c r="I1125" s="16"/>
      <c r="J1125" s="16"/>
      <c r="K1125" s="16"/>
      <c r="L1125" s="16"/>
      <c r="M1125" s="16"/>
      <c r="N1125" s="16"/>
      <c r="O1125" s="16"/>
      <c r="P1125" s="16"/>
      <c r="Q1125" s="16"/>
      <c r="R1125" s="16"/>
      <c r="S1125" s="16"/>
      <c r="T1125" s="16"/>
      <c r="U1125" s="16"/>
      <c r="V1125" s="16"/>
      <c r="W1125" s="16"/>
      <c r="X1125" s="16"/>
      <c r="Y1125" s="16"/>
      <c r="Z1125" s="16"/>
      <c r="AA1125" s="16"/>
      <c r="AB1125" s="16"/>
      <c r="AC1125" s="16"/>
      <c r="AD1125" s="16"/>
      <c r="AE1125" s="16"/>
      <c r="AF1125" s="16"/>
      <c r="AG1125" s="16"/>
      <c r="AH1125" s="16"/>
      <c r="AI1125" s="16"/>
      <c r="AJ1125" s="16"/>
      <c r="AK1125" s="24"/>
      <c r="AL1125" s="25"/>
      <c r="AM1125" s="25"/>
      <c r="AN1125" s="25"/>
      <c r="AO1125" s="25"/>
      <c r="AP1125" s="25"/>
    </row>
    <row r="1126" ht="15.75" customHeight="1">
      <c r="A1126" s="26"/>
      <c r="B1126" s="26"/>
      <c r="C1126" s="26"/>
      <c r="D1126" s="26"/>
      <c r="E1126" s="26"/>
      <c r="F1126" s="26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32"/>
      <c r="AL1126" s="25"/>
      <c r="AM1126" s="25"/>
      <c r="AN1126" s="25"/>
      <c r="AO1126" s="25"/>
      <c r="AP1126" s="25"/>
    </row>
    <row r="1127" ht="15.75" customHeight="1">
      <c r="A1127" s="16"/>
      <c r="B1127" s="16"/>
      <c r="C1127" s="16"/>
      <c r="D1127" s="16"/>
      <c r="E1127" s="16"/>
      <c r="F1127" s="16"/>
      <c r="G1127" s="16"/>
      <c r="H1127" s="16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16"/>
      <c r="U1127" s="16"/>
      <c r="V1127" s="16"/>
      <c r="W1127" s="16"/>
      <c r="X1127" s="16"/>
      <c r="Y1127" s="16"/>
      <c r="Z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24"/>
      <c r="AL1127" s="25"/>
      <c r="AM1127" s="25"/>
      <c r="AN1127" s="25"/>
      <c r="AO1127" s="25"/>
      <c r="AP1127" s="25"/>
    </row>
    <row r="1128" ht="15.75" customHeight="1">
      <c r="A1128" s="26"/>
      <c r="B1128" s="26"/>
      <c r="C1128" s="26"/>
      <c r="D1128" s="26"/>
      <c r="E1128" s="26"/>
      <c r="F1128" s="26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  <c r="AK1128" s="32"/>
      <c r="AL1128" s="25"/>
      <c r="AM1128" s="25"/>
      <c r="AN1128" s="25"/>
      <c r="AO1128" s="25"/>
      <c r="AP1128" s="25"/>
    </row>
    <row r="1129" ht="15.75" customHeight="1">
      <c r="A1129" s="16"/>
      <c r="B1129" s="16"/>
      <c r="C1129" s="16"/>
      <c r="D1129" s="16"/>
      <c r="E1129" s="16"/>
      <c r="F1129" s="16"/>
      <c r="G1129" s="16"/>
      <c r="H1129" s="16"/>
      <c r="I1129" s="16"/>
      <c r="J1129" s="16"/>
      <c r="K1129" s="16"/>
      <c r="L1129" s="16"/>
      <c r="M1129" s="16"/>
      <c r="N1129" s="16"/>
      <c r="O1129" s="16"/>
      <c r="P1129" s="16"/>
      <c r="Q1129" s="16"/>
      <c r="R1129" s="16"/>
      <c r="S1129" s="16"/>
      <c r="T1129" s="16"/>
      <c r="U1129" s="16"/>
      <c r="V1129" s="16"/>
      <c r="W1129" s="16"/>
      <c r="X1129" s="16"/>
      <c r="Y1129" s="16"/>
      <c r="Z1129" s="16"/>
      <c r="AA1129" s="16"/>
      <c r="AB1129" s="16"/>
      <c r="AC1129" s="16"/>
      <c r="AD1129" s="16"/>
      <c r="AE1129" s="16"/>
      <c r="AF1129" s="16"/>
      <c r="AG1129" s="16"/>
      <c r="AH1129" s="16"/>
      <c r="AI1129" s="16"/>
      <c r="AJ1129" s="16"/>
      <c r="AK1129" s="24"/>
      <c r="AL1129" s="25"/>
      <c r="AM1129" s="25"/>
      <c r="AN1129" s="25"/>
      <c r="AO1129" s="25"/>
      <c r="AP1129" s="25"/>
    </row>
    <row r="1130" ht="15.75" customHeight="1">
      <c r="A1130" s="26"/>
      <c r="B1130" s="26"/>
      <c r="C1130" s="26"/>
      <c r="D1130" s="26"/>
      <c r="E1130" s="26"/>
      <c r="F1130" s="26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  <c r="AK1130" s="32"/>
      <c r="AL1130" s="25"/>
      <c r="AM1130" s="25"/>
      <c r="AN1130" s="25"/>
      <c r="AO1130" s="25"/>
      <c r="AP1130" s="25"/>
    </row>
    <row r="1131" ht="15.75" customHeight="1">
      <c r="A1131" s="16"/>
      <c r="B1131" s="16"/>
      <c r="C1131" s="16"/>
      <c r="D1131" s="16"/>
      <c r="E1131" s="16"/>
      <c r="F1131" s="16"/>
      <c r="G1131" s="16"/>
      <c r="H1131" s="16"/>
      <c r="I1131" s="16"/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16"/>
      <c r="W1131" s="16"/>
      <c r="X1131" s="16"/>
      <c r="Y1131" s="16"/>
      <c r="Z1131" s="16"/>
      <c r="AA1131" s="16"/>
      <c r="AB1131" s="16"/>
      <c r="AC1131" s="16"/>
      <c r="AD1131" s="16"/>
      <c r="AE1131" s="16"/>
      <c r="AF1131" s="16"/>
      <c r="AG1131" s="16"/>
      <c r="AH1131" s="16"/>
      <c r="AI1131" s="16"/>
      <c r="AJ1131" s="16"/>
      <c r="AK1131" s="24"/>
      <c r="AL1131" s="25"/>
      <c r="AM1131" s="25"/>
      <c r="AN1131" s="25"/>
      <c r="AO1131" s="25"/>
      <c r="AP1131" s="25"/>
    </row>
    <row r="1132" ht="15.75" customHeight="1">
      <c r="A1132" s="26"/>
      <c r="B1132" s="26"/>
      <c r="C1132" s="26"/>
      <c r="D1132" s="26"/>
      <c r="E1132" s="26"/>
      <c r="F1132" s="26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32"/>
      <c r="AL1132" s="25"/>
      <c r="AM1132" s="25"/>
      <c r="AN1132" s="25"/>
      <c r="AO1132" s="25"/>
      <c r="AP1132" s="25"/>
    </row>
    <row r="1133" ht="15.75" customHeight="1">
      <c r="A1133" s="16"/>
      <c r="B1133" s="16"/>
      <c r="C1133" s="16"/>
      <c r="D1133" s="16"/>
      <c r="E1133" s="16"/>
      <c r="F1133" s="16"/>
      <c r="G1133" s="16"/>
      <c r="H1133" s="16"/>
      <c r="I1133" s="16"/>
      <c r="J1133" s="16"/>
      <c r="K1133" s="16"/>
      <c r="L1133" s="16"/>
      <c r="M1133" s="16"/>
      <c r="N1133" s="16"/>
      <c r="O1133" s="16"/>
      <c r="P1133" s="16"/>
      <c r="Q1133" s="16"/>
      <c r="R1133" s="16"/>
      <c r="S1133" s="16"/>
      <c r="T1133" s="16"/>
      <c r="U1133" s="16"/>
      <c r="V1133" s="16"/>
      <c r="W1133" s="16"/>
      <c r="X1133" s="16"/>
      <c r="Y1133" s="16"/>
      <c r="Z1133" s="16"/>
      <c r="AA1133" s="16"/>
      <c r="AB1133" s="16"/>
      <c r="AC1133" s="16"/>
      <c r="AD1133" s="16"/>
      <c r="AE1133" s="16"/>
      <c r="AF1133" s="16"/>
      <c r="AG1133" s="16"/>
      <c r="AH1133" s="16"/>
      <c r="AI1133" s="16"/>
      <c r="AJ1133" s="16"/>
      <c r="AK1133" s="24"/>
      <c r="AL1133" s="25"/>
      <c r="AM1133" s="25"/>
      <c r="AN1133" s="25"/>
      <c r="AO1133" s="25"/>
      <c r="AP1133" s="25"/>
    </row>
    <row r="1134" ht="15.75" customHeight="1">
      <c r="A1134" s="26"/>
      <c r="B1134" s="26"/>
      <c r="C1134" s="26"/>
      <c r="D1134" s="26"/>
      <c r="E1134" s="26"/>
      <c r="F1134" s="26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  <c r="AK1134" s="32"/>
      <c r="AL1134" s="25"/>
      <c r="AM1134" s="25"/>
      <c r="AN1134" s="25"/>
      <c r="AO1134" s="25"/>
      <c r="AP1134" s="25"/>
    </row>
    <row r="1135" ht="15.75" customHeight="1">
      <c r="A1135" s="16"/>
      <c r="B1135" s="16"/>
      <c r="C1135" s="16"/>
      <c r="D1135" s="16"/>
      <c r="E1135" s="16"/>
      <c r="F1135" s="16"/>
      <c r="G1135" s="16"/>
      <c r="H1135" s="16"/>
      <c r="I1135" s="16"/>
      <c r="J1135" s="16"/>
      <c r="K1135" s="16"/>
      <c r="L1135" s="16"/>
      <c r="M1135" s="16"/>
      <c r="N1135" s="16"/>
      <c r="O1135" s="16"/>
      <c r="P1135" s="16"/>
      <c r="Q1135" s="16"/>
      <c r="R1135" s="16"/>
      <c r="S1135" s="16"/>
      <c r="T1135" s="16"/>
      <c r="U1135" s="16"/>
      <c r="V1135" s="16"/>
      <c r="W1135" s="16"/>
      <c r="X1135" s="16"/>
      <c r="Y1135" s="16"/>
      <c r="Z1135" s="16"/>
      <c r="AA1135" s="16"/>
      <c r="AB1135" s="16"/>
      <c r="AC1135" s="16"/>
      <c r="AD1135" s="16"/>
      <c r="AE1135" s="16"/>
      <c r="AF1135" s="16"/>
      <c r="AG1135" s="16"/>
      <c r="AH1135" s="16"/>
      <c r="AI1135" s="16"/>
      <c r="AJ1135" s="16"/>
      <c r="AK1135" s="24"/>
      <c r="AL1135" s="25"/>
      <c r="AM1135" s="25"/>
      <c r="AN1135" s="25"/>
      <c r="AO1135" s="25"/>
      <c r="AP1135" s="25"/>
    </row>
    <row r="1136" ht="15.75" customHeight="1">
      <c r="A1136" s="26"/>
      <c r="B1136" s="26"/>
      <c r="C1136" s="26"/>
      <c r="D1136" s="26"/>
      <c r="E1136" s="26"/>
      <c r="F1136" s="26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  <c r="AK1136" s="32"/>
      <c r="AL1136" s="25"/>
      <c r="AM1136" s="25"/>
      <c r="AN1136" s="25"/>
      <c r="AO1136" s="25"/>
      <c r="AP1136" s="25"/>
    </row>
    <row r="1137" ht="15.75" customHeight="1">
      <c r="A1137" s="16"/>
      <c r="B1137" s="16"/>
      <c r="C1137" s="16"/>
      <c r="D1137" s="16"/>
      <c r="E1137" s="16"/>
      <c r="F1137" s="16"/>
      <c r="G1137" s="16"/>
      <c r="H1137" s="16"/>
      <c r="I1137" s="16"/>
      <c r="J1137" s="16"/>
      <c r="K1137" s="16"/>
      <c r="L1137" s="16"/>
      <c r="M1137" s="16"/>
      <c r="N1137" s="16"/>
      <c r="O1137" s="16"/>
      <c r="P1137" s="16"/>
      <c r="Q1137" s="16"/>
      <c r="R1137" s="16"/>
      <c r="S1137" s="16"/>
      <c r="T1137" s="16"/>
      <c r="U1137" s="16"/>
      <c r="V1137" s="16"/>
      <c r="W1137" s="16"/>
      <c r="X1137" s="16"/>
      <c r="Y1137" s="16"/>
      <c r="Z1137" s="16"/>
      <c r="AA1137" s="16"/>
      <c r="AB1137" s="16"/>
      <c r="AC1137" s="16"/>
      <c r="AD1137" s="16"/>
      <c r="AE1137" s="16"/>
      <c r="AF1137" s="16"/>
      <c r="AG1137" s="16"/>
      <c r="AH1137" s="16"/>
      <c r="AI1137" s="16"/>
      <c r="AJ1137" s="16"/>
      <c r="AK1137" s="24"/>
      <c r="AL1137" s="25"/>
      <c r="AM1137" s="25"/>
      <c r="AN1137" s="25"/>
      <c r="AO1137" s="25"/>
      <c r="AP1137" s="25"/>
    </row>
    <row r="1138" ht="15.75" customHeight="1">
      <c r="A1138" s="26"/>
      <c r="B1138" s="26"/>
      <c r="C1138" s="26"/>
      <c r="D1138" s="26"/>
      <c r="E1138" s="26"/>
      <c r="F1138" s="26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  <c r="AK1138" s="32"/>
      <c r="AL1138" s="25"/>
      <c r="AM1138" s="25"/>
      <c r="AN1138" s="25"/>
      <c r="AO1138" s="25"/>
      <c r="AP1138" s="25"/>
    </row>
    <row r="1139" ht="15.75" customHeight="1">
      <c r="A1139" s="16"/>
      <c r="B1139" s="16"/>
      <c r="C1139" s="16"/>
      <c r="D1139" s="16"/>
      <c r="E1139" s="16"/>
      <c r="F1139" s="16"/>
      <c r="G1139" s="16"/>
      <c r="H1139" s="16"/>
      <c r="I1139" s="16"/>
      <c r="J1139" s="16"/>
      <c r="K1139" s="16"/>
      <c r="L1139" s="16"/>
      <c r="M1139" s="16"/>
      <c r="N1139" s="16"/>
      <c r="O1139" s="16"/>
      <c r="P1139" s="16"/>
      <c r="Q1139" s="16"/>
      <c r="R1139" s="16"/>
      <c r="S1139" s="16"/>
      <c r="T1139" s="16"/>
      <c r="U1139" s="16"/>
      <c r="V1139" s="16"/>
      <c r="W1139" s="16"/>
      <c r="X1139" s="16"/>
      <c r="Y1139" s="16"/>
      <c r="Z1139" s="16"/>
      <c r="AA1139" s="16"/>
      <c r="AB1139" s="16"/>
      <c r="AC1139" s="16"/>
      <c r="AD1139" s="16"/>
      <c r="AE1139" s="16"/>
      <c r="AF1139" s="16"/>
      <c r="AG1139" s="16"/>
      <c r="AH1139" s="16"/>
      <c r="AI1139" s="16"/>
      <c r="AJ1139" s="16"/>
      <c r="AK1139" s="24"/>
      <c r="AL1139" s="25"/>
      <c r="AM1139" s="25"/>
      <c r="AN1139" s="25"/>
      <c r="AO1139" s="25"/>
      <c r="AP1139" s="25"/>
    </row>
    <row r="1140" ht="15.75" customHeight="1">
      <c r="A1140" s="26"/>
      <c r="B1140" s="26"/>
      <c r="C1140" s="26"/>
      <c r="D1140" s="26"/>
      <c r="E1140" s="26"/>
      <c r="F1140" s="26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  <c r="AK1140" s="32"/>
      <c r="AL1140" s="25"/>
      <c r="AM1140" s="25"/>
      <c r="AN1140" s="25"/>
      <c r="AO1140" s="25"/>
      <c r="AP1140" s="25"/>
    </row>
    <row r="1141" ht="15.75" customHeight="1">
      <c r="A1141" s="16"/>
      <c r="B1141" s="16"/>
      <c r="C1141" s="16"/>
      <c r="D1141" s="16"/>
      <c r="E1141" s="16"/>
      <c r="F1141" s="16"/>
      <c r="G1141" s="16"/>
      <c r="H1141" s="16"/>
      <c r="I1141" s="16"/>
      <c r="J1141" s="16"/>
      <c r="K1141" s="16"/>
      <c r="L1141" s="16"/>
      <c r="M1141" s="16"/>
      <c r="N1141" s="16"/>
      <c r="O1141" s="16"/>
      <c r="P1141" s="16"/>
      <c r="Q1141" s="16"/>
      <c r="R1141" s="16"/>
      <c r="S1141" s="16"/>
      <c r="T1141" s="16"/>
      <c r="U1141" s="16"/>
      <c r="V1141" s="16"/>
      <c r="W1141" s="16"/>
      <c r="X1141" s="16"/>
      <c r="Y1141" s="16"/>
      <c r="Z1141" s="16"/>
      <c r="AA1141" s="16"/>
      <c r="AB1141" s="16"/>
      <c r="AC1141" s="16"/>
      <c r="AD1141" s="16"/>
      <c r="AE1141" s="16"/>
      <c r="AF1141" s="16"/>
      <c r="AG1141" s="16"/>
      <c r="AH1141" s="16"/>
      <c r="AI1141" s="16"/>
      <c r="AJ1141" s="16"/>
      <c r="AK1141" s="24"/>
      <c r="AL1141" s="25"/>
      <c r="AM1141" s="25"/>
      <c r="AN1141" s="25"/>
      <c r="AO1141" s="25"/>
      <c r="AP1141" s="25"/>
    </row>
    <row r="1142" ht="15.75" customHeight="1">
      <c r="A1142" s="26"/>
      <c r="B1142" s="26"/>
      <c r="C1142" s="26"/>
      <c r="D1142" s="26"/>
      <c r="E1142" s="26"/>
      <c r="F1142" s="26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  <c r="AK1142" s="32"/>
      <c r="AL1142" s="25"/>
      <c r="AM1142" s="25"/>
      <c r="AN1142" s="25"/>
      <c r="AO1142" s="25"/>
      <c r="AP1142" s="25"/>
    </row>
    <row r="1143" ht="15.75" customHeight="1">
      <c r="A1143" s="16"/>
      <c r="B1143" s="16"/>
      <c r="C1143" s="16"/>
      <c r="D1143" s="16"/>
      <c r="E1143" s="16"/>
      <c r="F1143" s="16"/>
      <c r="G1143" s="16"/>
      <c r="H1143" s="16"/>
      <c r="I1143" s="16"/>
      <c r="J1143" s="16"/>
      <c r="K1143" s="16"/>
      <c r="L1143" s="16"/>
      <c r="M1143" s="16"/>
      <c r="N1143" s="16"/>
      <c r="O1143" s="16"/>
      <c r="P1143" s="16"/>
      <c r="Q1143" s="16"/>
      <c r="R1143" s="16"/>
      <c r="S1143" s="16"/>
      <c r="T1143" s="16"/>
      <c r="U1143" s="16"/>
      <c r="V1143" s="16"/>
      <c r="W1143" s="16"/>
      <c r="X1143" s="16"/>
      <c r="Y1143" s="16"/>
      <c r="Z1143" s="16"/>
      <c r="AA1143" s="16"/>
      <c r="AB1143" s="16"/>
      <c r="AC1143" s="16"/>
      <c r="AD1143" s="16"/>
      <c r="AE1143" s="16"/>
      <c r="AF1143" s="16"/>
      <c r="AG1143" s="16"/>
      <c r="AH1143" s="16"/>
      <c r="AI1143" s="16"/>
      <c r="AJ1143" s="16"/>
      <c r="AK1143" s="24"/>
      <c r="AL1143" s="25"/>
      <c r="AM1143" s="25"/>
      <c r="AN1143" s="25"/>
      <c r="AO1143" s="25"/>
      <c r="AP1143" s="25"/>
    </row>
    <row r="1144" ht="15.75" customHeight="1">
      <c r="A1144" s="26"/>
      <c r="B1144" s="26"/>
      <c r="C1144" s="26"/>
      <c r="D1144" s="26"/>
      <c r="E1144" s="26"/>
      <c r="F1144" s="26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  <c r="AK1144" s="32"/>
      <c r="AL1144" s="25"/>
      <c r="AM1144" s="25"/>
      <c r="AN1144" s="25"/>
      <c r="AO1144" s="25"/>
      <c r="AP1144" s="25"/>
    </row>
    <row r="1145" ht="15.75" customHeight="1">
      <c r="A1145" s="16"/>
      <c r="B1145" s="16"/>
      <c r="C1145" s="16"/>
      <c r="D1145" s="16"/>
      <c r="E1145" s="16"/>
      <c r="F1145" s="16"/>
      <c r="G1145" s="16"/>
      <c r="H1145" s="16"/>
      <c r="I1145" s="16"/>
      <c r="J1145" s="16"/>
      <c r="K1145" s="16"/>
      <c r="L1145" s="16"/>
      <c r="M1145" s="16"/>
      <c r="N1145" s="16"/>
      <c r="O1145" s="16"/>
      <c r="P1145" s="16"/>
      <c r="Q1145" s="16"/>
      <c r="R1145" s="16"/>
      <c r="S1145" s="16"/>
      <c r="T1145" s="16"/>
      <c r="U1145" s="16"/>
      <c r="V1145" s="16"/>
      <c r="W1145" s="16"/>
      <c r="X1145" s="16"/>
      <c r="Y1145" s="16"/>
      <c r="Z1145" s="16"/>
      <c r="AA1145" s="16"/>
      <c r="AB1145" s="16"/>
      <c r="AC1145" s="16"/>
      <c r="AD1145" s="16"/>
      <c r="AE1145" s="16"/>
      <c r="AF1145" s="16"/>
      <c r="AG1145" s="16"/>
      <c r="AH1145" s="16"/>
      <c r="AI1145" s="16"/>
      <c r="AJ1145" s="16"/>
      <c r="AK1145" s="24"/>
      <c r="AL1145" s="25"/>
      <c r="AM1145" s="25"/>
      <c r="AN1145" s="25"/>
      <c r="AO1145" s="25"/>
      <c r="AP1145" s="25"/>
    </row>
    <row r="1146" ht="15.75" customHeight="1">
      <c r="A1146" s="26"/>
      <c r="B1146" s="26"/>
      <c r="C1146" s="26"/>
      <c r="D1146" s="26"/>
      <c r="E1146" s="26"/>
      <c r="F1146" s="26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  <c r="AK1146" s="32"/>
      <c r="AL1146" s="25"/>
      <c r="AM1146" s="25"/>
      <c r="AN1146" s="25"/>
      <c r="AO1146" s="25"/>
      <c r="AP1146" s="25"/>
    </row>
    <row r="1147" ht="15.75" customHeight="1">
      <c r="A1147" s="16"/>
      <c r="B1147" s="16"/>
      <c r="C1147" s="16"/>
      <c r="D1147" s="16"/>
      <c r="E1147" s="16"/>
      <c r="F1147" s="16"/>
      <c r="G1147" s="16"/>
      <c r="H1147" s="16"/>
      <c r="I1147" s="16"/>
      <c r="J1147" s="16"/>
      <c r="K1147" s="16"/>
      <c r="L1147" s="16"/>
      <c r="M1147" s="16"/>
      <c r="N1147" s="16"/>
      <c r="O1147" s="16"/>
      <c r="P1147" s="16"/>
      <c r="Q1147" s="16"/>
      <c r="R1147" s="16"/>
      <c r="S1147" s="16"/>
      <c r="T1147" s="16"/>
      <c r="U1147" s="16"/>
      <c r="V1147" s="16"/>
      <c r="W1147" s="16"/>
      <c r="X1147" s="16"/>
      <c r="Y1147" s="16"/>
      <c r="Z1147" s="16"/>
      <c r="AA1147" s="16"/>
      <c r="AB1147" s="16"/>
      <c r="AC1147" s="16"/>
      <c r="AD1147" s="16"/>
      <c r="AE1147" s="16"/>
      <c r="AF1147" s="16"/>
      <c r="AG1147" s="16"/>
      <c r="AH1147" s="16"/>
      <c r="AI1147" s="16"/>
      <c r="AJ1147" s="16"/>
      <c r="AK1147" s="24"/>
      <c r="AL1147" s="25"/>
      <c r="AM1147" s="25"/>
      <c r="AN1147" s="25"/>
      <c r="AO1147" s="25"/>
      <c r="AP1147" s="25"/>
    </row>
    <row r="1148" ht="15.75" customHeight="1">
      <c r="A1148" s="26"/>
      <c r="B1148" s="26"/>
      <c r="C1148" s="26"/>
      <c r="D1148" s="26"/>
      <c r="E1148" s="26"/>
      <c r="F1148" s="26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  <c r="AK1148" s="32"/>
      <c r="AL1148" s="25"/>
      <c r="AM1148" s="25"/>
      <c r="AN1148" s="25"/>
      <c r="AO1148" s="25"/>
      <c r="AP1148" s="25"/>
    </row>
    <row r="1149" ht="15.75" customHeight="1">
      <c r="A1149" s="16"/>
      <c r="B1149" s="16"/>
      <c r="C1149" s="16"/>
      <c r="D1149" s="16"/>
      <c r="E1149" s="16"/>
      <c r="F1149" s="16"/>
      <c r="G1149" s="16"/>
      <c r="H1149" s="16"/>
      <c r="I1149" s="16"/>
      <c r="J1149" s="16"/>
      <c r="K1149" s="16"/>
      <c r="L1149" s="16"/>
      <c r="M1149" s="16"/>
      <c r="N1149" s="16"/>
      <c r="O1149" s="16"/>
      <c r="P1149" s="16"/>
      <c r="Q1149" s="16"/>
      <c r="R1149" s="16"/>
      <c r="S1149" s="16"/>
      <c r="T1149" s="16"/>
      <c r="U1149" s="16"/>
      <c r="V1149" s="16"/>
      <c r="W1149" s="16"/>
      <c r="X1149" s="16"/>
      <c r="Y1149" s="16"/>
      <c r="Z1149" s="16"/>
      <c r="AA1149" s="16"/>
      <c r="AB1149" s="16"/>
      <c r="AC1149" s="16"/>
      <c r="AD1149" s="16"/>
      <c r="AE1149" s="16"/>
      <c r="AF1149" s="16"/>
      <c r="AG1149" s="16"/>
      <c r="AH1149" s="16"/>
      <c r="AI1149" s="16"/>
      <c r="AJ1149" s="16"/>
      <c r="AK1149" s="24"/>
      <c r="AL1149" s="25"/>
      <c r="AM1149" s="25"/>
      <c r="AN1149" s="25"/>
      <c r="AO1149" s="25"/>
      <c r="AP1149" s="25"/>
    </row>
    <row r="1150" ht="15.75" customHeight="1">
      <c r="A1150" s="26"/>
      <c r="B1150" s="26"/>
      <c r="C1150" s="26"/>
      <c r="D1150" s="26"/>
      <c r="E1150" s="26"/>
      <c r="F1150" s="26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  <c r="AK1150" s="32"/>
      <c r="AL1150" s="25"/>
      <c r="AM1150" s="25"/>
      <c r="AN1150" s="25"/>
      <c r="AO1150" s="25"/>
      <c r="AP1150" s="25"/>
    </row>
  </sheetData>
  <autoFilter ref="$A$1:$AP$211">
    <filterColumn colId="1">
      <filters>
        <filter val="2019"/>
        <filter val="2018"/>
        <filter val="2016"/>
        <filter val="2023"/>
        <filter val="2022"/>
        <filter val="2021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0" max="10" width="12.22"/>
  </cols>
  <sheetData>
    <row r="1">
      <c r="A1" s="1" t="s">
        <v>30</v>
      </c>
      <c r="B1" s="1" t="s">
        <v>37</v>
      </c>
      <c r="C1" s="1" t="s">
        <v>41</v>
      </c>
      <c r="D1" s="1" t="s">
        <v>43</v>
      </c>
      <c r="E1" s="1" t="s">
        <v>48</v>
      </c>
      <c r="F1" s="1" t="s">
        <v>53</v>
      </c>
      <c r="G1" s="1" t="s">
        <v>58</v>
      </c>
      <c r="H1" s="1" t="s">
        <v>62</v>
      </c>
      <c r="I1" s="1" t="s">
        <v>67</v>
      </c>
      <c r="J1" s="1" t="s">
        <v>69</v>
      </c>
      <c r="K1" s="1" t="s">
        <v>71</v>
      </c>
      <c r="L1" s="1" t="s">
        <v>74</v>
      </c>
      <c r="M1" s="1" t="s">
        <v>78</v>
      </c>
      <c r="N1" s="1" t="s">
        <v>80</v>
      </c>
      <c r="O1" s="6" t="s">
        <v>84</v>
      </c>
      <c r="P1" s="1" t="s">
        <v>93</v>
      </c>
      <c r="Q1" s="1" t="s">
        <v>101</v>
      </c>
      <c r="R1" s="1" t="s">
        <v>107</v>
      </c>
      <c r="S1" s="1" t="s">
        <v>112</v>
      </c>
      <c r="T1" s="6" t="s">
        <v>115</v>
      </c>
      <c r="U1" s="1" t="s">
        <v>98</v>
      </c>
      <c r="V1" s="1" t="s">
        <v>13</v>
      </c>
      <c r="W1" s="1" t="s">
        <v>125</v>
      </c>
      <c r="X1" s="2"/>
      <c r="Y1" s="2"/>
      <c r="Z1" s="2"/>
      <c r="AA1" s="2"/>
      <c r="AB1" s="2"/>
      <c r="AC1" s="2"/>
      <c r="AD1" s="2"/>
      <c r="AE1" s="2"/>
      <c r="AF1" s="2"/>
      <c r="AG1" s="2"/>
    </row>
    <row r="2">
      <c r="A2" s="8">
        <v>2016.0</v>
      </c>
      <c r="B2" s="8" t="s">
        <v>147</v>
      </c>
      <c r="C2" s="8">
        <v>2.0</v>
      </c>
      <c r="D2" s="2" t="s">
        <v>150</v>
      </c>
      <c r="E2" s="2"/>
      <c r="F2" s="8">
        <v>230.0</v>
      </c>
      <c r="G2" s="2" t="s">
        <v>154</v>
      </c>
      <c r="H2" s="2" t="s">
        <v>156</v>
      </c>
      <c r="I2" s="2" t="s">
        <v>158</v>
      </c>
      <c r="J2" s="11">
        <v>46.0</v>
      </c>
      <c r="K2" s="8"/>
      <c r="L2" s="8"/>
      <c r="M2" s="14">
        <v>1.0</v>
      </c>
      <c r="N2" s="15">
        <v>0.3611111111111111</v>
      </c>
      <c r="O2" s="17" t="s">
        <v>172</v>
      </c>
      <c r="P2" s="15">
        <v>0.4305555555555556</v>
      </c>
      <c r="Q2" s="15" t="s">
        <v>175</v>
      </c>
      <c r="R2" s="15" t="s">
        <v>175</v>
      </c>
      <c r="S2" s="18">
        <v>0.4701388888888889</v>
      </c>
      <c r="T2" s="20" t="s">
        <v>187</v>
      </c>
      <c r="U2" s="2" t="s">
        <v>189</v>
      </c>
      <c r="V2" s="2" t="s">
        <v>175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>
      <c r="A3" s="8">
        <v>2016.0</v>
      </c>
      <c r="B3" s="8" t="s">
        <v>147</v>
      </c>
      <c r="C3" s="8">
        <v>2.0</v>
      </c>
      <c r="D3" s="2" t="s">
        <v>150</v>
      </c>
      <c r="E3" s="2"/>
      <c r="F3" s="8">
        <v>231.0</v>
      </c>
      <c r="G3" s="2" t="s">
        <v>154</v>
      </c>
      <c r="H3" s="2" t="s">
        <v>195</v>
      </c>
      <c r="I3" s="2" t="s">
        <v>196</v>
      </c>
      <c r="J3" s="11">
        <v>44.0</v>
      </c>
      <c r="K3" s="8"/>
      <c r="L3" s="8"/>
      <c r="M3" s="14">
        <v>2.0</v>
      </c>
      <c r="N3" s="15">
        <v>0.3659722222222222</v>
      </c>
      <c r="O3" s="17" t="s">
        <v>200</v>
      </c>
      <c r="P3" s="15">
        <v>0.43402777777777773</v>
      </c>
      <c r="Q3" s="15" t="s">
        <v>175</v>
      </c>
      <c r="R3" s="15" t="s">
        <v>175</v>
      </c>
      <c r="S3" s="18">
        <v>0.4826388888888889</v>
      </c>
      <c r="T3" s="20" t="s">
        <v>203</v>
      </c>
      <c r="U3" s="2" t="s">
        <v>204</v>
      </c>
      <c r="V3" s="2" t="s">
        <v>205</v>
      </c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>
      <c r="A4" s="8">
        <v>2016.0</v>
      </c>
      <c r="B4" s="8" t="s">
        <v>147</v>
      </c>
      <c r="C4" s="8">
        <v>2.0</v>
      </c>
      <c r="D4" s="2" t="s">
        <v>150</v>
      </c>
      <c r="E4" s="2"/>
      <c r="F4" s="8">
        <v>232.0</v>
      </c>
      <c r="G4" s="2" t="s">
        <v>154</v>
      </c>
      <c r="H4" s="2" t="s">
        <v>210</v>
      </c>
      <c r="I4" s="2" t="s">
        <v>211</v>
      </c>
      <c r="J4" s="11">
        <v>46.5</v>
      </c>
      <c r="K4" s="8"/>
      <c r="L4" s="8"/>
      <c r="M4" s="14">
        <v>3.0</v>
      </c>
      <c r="N4" s="15">
        <v>0.3680555555555556</v>
      </c>
      <c r="O4" s="17" t="s">
        <v>213</v>
      </c>
      <c r="P4" s="15">
        <v>0.4375</v>
      </c>
      <c r="Q4" s="15">
        <v>0.5013888888888889</v>
      </c>
      <c r="R4" s="15" t="s">
        <v>175</v>
      </c>
      <c r="S4" s="18">
        <v>0.5145833333333333</v>
      </c>
      <c r="T4" s="20" t="s">
        <v>218</v>
      </c>
      <c r="U4" s="2" t="s">
        <v>189</v>
      </c>
      <c r="V4" s="2" t="s">
        <v>175</v>
      </c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>
      <c r="A5" s="8">
        <v>2016.0</v>
      </c>
      <c r="B5" s="8" t="s">
        <v>147</v>
      </c>
      <c r="C5" s="8">
        <v>2.0</v>
      </c>
      <c r="D5" s="2" t="s">
        <v>222</v>
      </c>
      <c r="E5" s="2"/>
      <c r="F5" s="8">
        <v>233.0</v>
      </c>
      <c r="G5" s="2" t="s">
        <v>154</v>
      </c>
      <c r="H5" s="2" t="s">
        <v>223</v>
      </c>
      <c r="I5" s="2" t="s">
        <v>224</v>
      </c>
      <c r="J5" s="11">
        <v>45.8</v>
      </c>
      <c r="K5" s="8"/>
      <c r="L5" s="8"/>
      <c r="M5" s="14">
        <v>4.0</v>
      </c>
      <c r="N5" s="15">
        <v>0.3743055555555555</v>
      </c>
      <c r="O5" s="17" t="s">
        <v>225</v>
      </c>
      <c r="P5" s="15">
        <v>0.44097222222222227</v>
      </c>
      <c r="Q5" s="15" t="s">
        <v>175</v>
      </c>
      <c r="R5" s="15" t="s">
        <v>175</v>
      </c>
      <c r="S5" s="18">
        <v>0.5034722222222222</v>
      </c>
      <c r="T5" s="20" t="s">
        <v>226</v>
      </c>
      <c r="U5" s="2" t="s">
        <v>227</v>
      </c>
      <c r="V5" s="2" t="s">
        <v>175</v>
      </c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>
      <c r="A6" s="8">
        <v>2016.0</v>
      </c>
      <c r="B6" s="8" t="s">
        <v>147</v>
      </c>
      <c r="C6" s="8">
        <v>2.0</v>
      </c>
      <c r="D6" s="2" t="s">
        <v>222</v>
      </c>
      <c r="E6" s="2"/>
      <c r="F6" s="8">
        <v>234.0</v>
      </c>
      <c r="G6" s="2" t="s">
        <v>154</v>
      </c>
      <c r="H6" s="2" t="s">
        <v>230</v>
      </c>
      <c r="I6" s="2" t="s">
        <v>231</v>
      </c>
      <c r="J6" s="11">
        <v>37.5</v>
      </c>
      <c r="K6" s="8"/>
      <c r="L6" s="8"/>
      <c r="M6" s="14">
        <v>5.0</v>
      </c>
      <c r="N6" s="15">
        <v>0.37847222222222227</v>
      </c>
      <c r="O6" s="17" t="s">
        <v>234</v>
      </c>
      <c r="P6" s="15">
        <v>0.44375000000000003</v>
      </c>
      <c r="Q6" s="15" t="s">
        <v>175</v>
      </c>
      <c r="R6" s="15" t="s">
        <v>175</v>
      </c>
      <c r="S6" s="18">
        <v>0.5069444444444444</v>
      </c>
      <c r="T6" s="20" t="s">
        <v>235</v>
      </c>
      <c r="U6" s="2" t="s">
        <v>189</v>
      </c>
      <c r="V6" s="2" t="s">
        <v>175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>
      <c r="A7" s="8">
        <v>2016.0</v>
      </c>
      <c r="B7" s="8" t="s">
        <v>147</v>
      </c>
      <c r="C7" s="8">
        <v>2.0</v>
      </c>
      <c r="D7" s="2" t="s">
        <v>150</v>
      </c>
      <c r="E7" s="2"/>
      <c r="F7" s="8">
        <v>235.0</v>
      </c>
      <c r="G7" s="2" t="s">
        <v>154</v>
      </c>
      <c r="H7" s="2" t="s">
        <v>237</v>
      </c>
      <c r="I7" s="2" t="s">
        <v>238</v>
      </c>
      <c r="J7" s="11">
        <v>47.0</v>
      </c>
      <c r="K7" s="8"/>
      <c r="L7" s="8"/>
      <c r="M7" s="14">
        <v>6.0</v>
      </c>
      <c r="N7" s="15">
        <v>0.4701388888888889</v>
      </c>
      <c r="O7" s="17" t="s">
        <v>187</v>
      </c>
      <c r="P7" s="15" t="s">
        <v>175</v>
      </c>
      <c r="Q7" s="15" t="s">
        <v>175</v>
      </c>
      <c r="R7" s="15" t="s">
        <v>175</v>
      </c>
      <c r="S7" s="18">
        <v>0.5118055555555555</v>
      </c>
      <c r="T7" s="20" t="s">
        <v>240</v>
      </c>
      <c r="U7" s="2" t="s">
        <v>189</v>
      </c>
      <c r="V7" s="2" t="s">
        <v>175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>
      <c r="A8" s="8">
        <v>2016.0</v>
      </c>
      <c r="B8" s="8" t="s">
        <v>147</v>
      </c>
      <c r="C8" s="8">
        <v>7.0</v>
      </c>
      <c r="D8" s="2" t="s">
        <v>244</v>
      </c>
      <c r="E8" s="2"/>
      <c r="F8" s="8">
        <v>236.0</v>
      </c>
      <c r="G8" s="2" t="s">
        <v>154</v>
      </c>
      <c r="H8" s="2" t="s">
        <v>245</v>
      </c>
      <c r="I8" s="2" t="s">
        <v>246</v>
      </c>
      <c r="J8" s="11">
        <v>23.4</v>
      </c>
      <c r="K8" s="8"/>
      <c r="L8" s="8"/>
      <c r="M8" s="14">
        <v>1.0</v>
      </c>
      <c r="N8" s="15">
        <v>0.43402777777777773</v>
      </c>
      <c r="O8" s="17" t="s">
        <v>247</v>
      </c>
      <c r="P8" s="15">
        <v>0.5034722222222222</v>
      </c>
      <c r="Q8" s="15">
        <v>0.5902777777777778</v>
      </c>
      <c r="R8" s="15" t="s">
        <v>175</v>
      </c>
      <c r="S8" s="18">
        <v>0.75</v>
      </c>
      <c r="T8" s="20" t="s">
        <v>249</v>
      </c>
      <c r="U8" s="2" t="s">
        <v>250</v>
      </c>
      <c r="V8" s="2" t="s">
        <v>175</v>
      </c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>
      <c r="A9" s="8">
        <v>2016.0</v>
      </c>
      <c r="B9" s="8" t="s">
        <v>147</v>
      </c>
      <c r="C9" s="8">
        <v>7.0</v>
      </c>
      <c r="D9" s="2" t="s">
        <v>244</v>
      </c>
      <c r="E9" s="2"/>
      <c r="F9" s="8">
        <v>237.0</v>
      </c>
      <c r="G9" s="2" t="s">
        <v>154</v>
      </c>
      <c r="H9" s="2" t="s">
        <v>252</v>
      </c>
      <c r="I9" s="2" t="s">
        <v>253</v>
      </c>
      <c r="J9" s="11">
        <v>33.9</v>
      </c>
      <c r="K9" s="8"/>
      <c r="L9" s="8"/>
      <c r="M9" s="14">
        <v>2.0</v>
      </c>
      <c r="N9" s="15">
        <v>0.4465277777777778</v>
      </c>
      <c r="O9" s="17" t="s">
        <v>254</v>
      </c>
      <c r="P9" s="15">
        <v>0.5097222222222222</v>
      </c>
      <c r="Q9" s="15">
        <v>0.5930555555555556</v>
      </c>
      <c r="R9" s="15" t="s">
        <v>175</v>
      </c>
      <c r="S9" s="18">
        <v>0.7291666666666666</v>
      </c>
      <c r="T9" s="20" t="s">
        <v>257</v>
      </c>
      <c r="U9" s="2" t="s">
        <v>258</v>
      </c>
      <c r="V9" s="2" t="s">
        <v>259</v>
      </c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>
      <c r="A10" s="8">
        <v>2016.0</v>
      </c>
      <c r="B10" s="8" t="s">
        <v>147</v>
      </c>
      <c r="C10" s="8">
        <v>7.0</v>
      </c>
      <c r="D10" s="2" t="s">
        <v>244</v>
      </c>
      <c r="E10" s="2"/>
      <c r="F10" s="8">
        <v>238.0</v>
      </c>
      <c r="G10" s="2" t="s">
        <v>154</v>
      </c>
      <c r="H10" s="2" t="s">
        <v>262</v>
      </c>
      <c r="I10" s="2" t="s">
        <v>263</v>
      </c>
      <c r="J10" s="11">
        <v>42.4</v>
      </c>
      <c r="K10" s="8"/>
      <c r="L10" s="8"/>
      <c r="M10" s="14">
        <v>3.0</v>
      </c>
      <c r="N10" s="15">
        <v>0.4472222222222222</v>
      </c>
      <c r="O10" s="17" t="s">
        <v>265</v>
      </c>
      <c r="P10" s="15">
        <v>0.5111111111111112</v>
      </c>
      <c r="Q10" s="15" t="s">
        <v>175</v>
      </c>
      <c r="R10" s="15" t="s">
        <v>175</v>
      </c>
      <c r="S10" s="18">
        <v>0.5965277777777778</v>
      </c>
      <c r="T10" s="20" t="s">
        <v>266</v>
      </c>
      <c r="U10" s="2" t="s">
        <v>267</v>
      </c>
      <c r="V10" s="2" t="s">
        <v>268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>
      <c r="A11" s="8">
        <v>2016.0</v>
      </c>
      <c r="B11" s="8" t="s">
        <v>147</v>
      </c>
      <c r="C11" s="8">
        <v>7.0</v>
      </c>
      <c r="D11" s="2" t="s">
        <v>150</v>
      </c>
      <c r="E11" s="2"/>
      <c r="F11" s="8">
        <v>239.0</v>
      </c>
      <c r="G11" s="2" t="s">
        <v>154</v>
      </c>
      <c r="H11" s="2" t="s">
        <v>271</v>
      </c>
      <c r="I11" s="2" t="s">
        <v>273</v>
      </c>
      <c r="J11" s="11">
        <v>46.8</v>
      </c>
      <c r="K11" s="8"/>
      <c r="L11" s="8"/>
      <c r="M11" s="14">
        <v>4.0</v>
      </c>
      <c r="N11" s="15">
        <v>0.45416666666666666</v>
      </c>
      <c r="O11" s="17" t="s">
        <v>276</v>
      </c>
      <c r="P11" s="15">
        <v>0.5131944444444444</v>
      </c>
      <c r="Q11" s="15" t="s">
        <v>175</v>
      </c>
      <c r="R11" s="15" t="s">
        <v>175</v>
      </c>
      <c r="S11" s="18">
        <v>0.6354166666666666</v>
      </c>
      <c r="T11" s="20" t="s">
        <v>278</v>
      </c>
      <c r="U11" s="2" t="s">
        <v>267</v>
      </c>
      <c r="V11" s="2" t="s">
        <v>280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>
      <c r="A12" s="8">
        <v>2016.0</v>
      </c>
      <c r="B12" s="8" t="s">
        <v>147</v>
      </c>
      <c r="C12" s="8">
        <v>7.0</v>
      </c>
      <c r="D12" s="2" t="s">
        <v>150</v>
      </c>
      <c r="E12" s="2"/>
      <c r="F12" s="8">
        <v>240.0</v>
      </c>
      <c r="G12" s="2" t="s">
        <v>154</v>
      </c>
      <c r="H12" s="2" t="s">
        <v>281</v>
      </c>
      <c r="I12" s="2" t="s">
        <v>282</v>
      </c>
      <c r="J12" s="11">
        <v>53.4</v>
      </c>
      <c r="K12" s="8"/>
      <c r="L12" s="8"/>
      <c r="M12" s="14">
        <v>5.0</v>
      </c>
      <c r="N12" s="15">
        <v>0.4604166666666667</v>
      </c>
      <c r="O12" s="17" t="s">
        <v>283</v>
      </c>
      <c r="P12" s="15">
        <v>0.5152777777777778</v>
      </c>
      <c r="Q12" s="15" t="s">
        <v>175</v>
      </c>
      <c r="R12" s="15" t="s">
        <v>175</v>
      </c>
      <c r="S12" s="18">
        <v>0.6597222222222222</v>
      </c>
      <c r="T12" s="20" t="s">
        <v>286</v>
      </c>
      <c r="U12" s="2" t="s">
        <v>287</v>
      </c>
      <c r="V12" s="2" t="s">
        <v>175</v>
      </c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>
      <c r="A13" s="8">
        <v>2016.0</v>
      </c>
      <c r="B13" s="8" t="s">
        <v>147</v>
      </c>
      <c r="C13" s="8">
        <v>7.0</v>
      </c>
      <c r="D13" s="2" t="s">
        <v>150</v>
      </c>
      <c r="E13" s="2"/>
      <c r="F13" s="8">
        <v>242.0</v>
      </c>
      <c r="G13" s="2" t="s">
        <v>154</v>
      </c>
      <c r="H13" s="2" t="s">
        <v>290</v>
      </c>
      <c r="I13" s="2" t="s">
        <v>291</v>
      </c>
      <c r="J13" s="11">
        <v>54.4</v>
      </c>
      <c r="K13" s="8"/>
      <c r="L13" s="8"/>
      <c r="M13" s="14">
        <v>6.0</v>
      </c>
      <c r="N13" s="15">
        <v>0.4680555555555555</v>
      </c>
      <c r="O13" s="17" t="s">
        <v>292</v>
      </c>
      <c r="P13" s="15">
        <v>0.5354166666666667</v>
      </c>
      <c r="Q13" s="15" t="s">
        <v>175</v>
      </c>
      <c r="R13" s="15" t="s">
        <v>175</v>
      </c>
      <c r="S13" s="18">
        <v>0.6645833333333333</v>
      </c>
      <c r="T13" s="20" t="s">
        <v>294</v>
      </c>
      <c r="U13" s="2" t="s">
        <v>295</v>
      </c>
      <c r="V13" s="2" t="s">
        <v>296</v>
      </c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>
      <c r="A14" s="8">
        <v>2016.0</v>
      </c>
      <c r="B14" s="8" t="s">
        <v>147</v>
      </c>
      <c r="C14" s="8">
        <v>7.0</v>
      </c>
      <c r="D14" s="2" t="s">
        <v>150</v>
      </c>
      <c r="E14" s="2"/>
      <c r="F14" s="8">
        <v>243.0</v>
      </c>
      <c r="G14" s="2" t="s">
        <v>154</v>
      </c>
      <c r="H14" s="2" t="s">
        <v>301</v>
      </c>
      <c r="I14" s="2" t="s">
        <v>302</v>
      </c>
      <c r="J14" s="11">
        <v>67.0</v>
      </c>
      <c r="K14" s="8"/>
      <c r="L14" s="8"/>
      <c r="M14" s="14">
        <v>7.0</v>
      </c>
      <c r="N14" s="15">
        <v>0.47222222222222227</v>
      </c>
      <c r="O14" s="17" t="s">
        <v>306</v>
      </c>
      <c r="P14" s="15">
        <v>0.5375</v>
      </c>
      <c r="Q14" s="15" t="s">
        <v>175</v>
      </c>
      <c r="R14" s="15" t="s">
        <v>175</v>
      </c>
      <c r="S14" s="18">
        <v>0.6805555555555555</v>
      </c>
      <c r="T14" s="20" t="s">
        <v>308</v>
      </c>
      <c r="U14" s="2" t="s">
        <v>309</v>
      </c>
      <c r="V14" s="2" t="s">
        <v>310</v>
      </c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>
      <c r="A15" s="8">
        <v>2016.0</v>
      </c>
      <c r="B15" s="8" t="s">
        <v>147</v>
      </c>
      <c r="C15" s="8">
        <v>7.0</v>
      </c>
      <c r="D15" s="2" t="s">
        <v>150</v>
      </c>
      <c r="E15" s="2"/>
      <c r="F15" s="8">
        <v>244.0</v>
      </c>
      <c r="G15" s="2" t="s">
        <v>154</v>
      </c>
      <c r="H15" s="2" t="s">
        <v>312</v>
      </c>
      <c r="I15" s="2" t="s">
        <v>314</v>
      </c>
      <c r="J15" s="11">
        <v>71.3</v>
      </c>
      <c r="K15" s="8"/>
      <c r="L15" s="8"/>
      <c r="M15" s="14">
        <v>8.0</v>
      </c>
      <c r="N15" s="15">
        <v>0.4756944444444444</v>
      </c>
      <c r="O15" s="17" t="s">
        <v>316</v>
      </c>
      <c r="P15" s="15">
        <v>0.5388888888888889</v>
      </c>
      <c r="Q15" s="15" t="s">
        <v>175</v>
      </c>
      <c r="R15" s="15" t="s">
        <v>175</v>
      </c>
      <c r="S15" s="18">
        <v>0.6944444444444445</v>
      </c>
      <c r="T15" s="20" t="s">
        <v>320</v>
      </c>
      <c r="U15" s="2" t="s">
        <v>322</v>
      </c>
      <c r="V15" s="2" t="s">
        <v>323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>
      <c r="A16" s="8">
        <v>2016.0</v>
      </c>
      <c r="B16" s="8" t="s">
        <v>147</v>
      </c>
      <c r="C16" s="8">
        <v>7.0</v>
      </c>
      <c r="D16" s="2" t="s">
        <v>150</v>
      </c>
      <c r="E16" s="2"/>
      <c r="F16" s="8">
        <v>245.0</v>
      </c>
      <c r="G16" s="2" t="s">
        <v>154</v>
      </c>
      <c r="H16" s="2" t="s">
        <v>324</v>
      </c>
      <c r="I16" s="2" t="s">
        <v>325</v>
      </c>
      <c r="J16" s="11">
        <v>83.6</v>
      </c>
      <c r="K16" s="8"/>
      <c r="L16" s="8"/>
      <c r="M16" s="14">
        <v>9.0</v>
      </c>
      <c r="N16" s="15">
        <v>0.4791666666666667</v>
      </c>
      <c r="O16" s="17" t="s">
        <v>327</v>
      </c>
      <c r="P16" s="15">
        <v>0.5430555555555555</v>
      </c>
      <c r="Q16" s="15" t="s">
        <v>175</v>
      </c>
      <c r="R16" s="15" t="s">
        <v>175</v>
      </c>
      <c r="S16" s="18">
        <v>0.71875</v>
      </c>
      <c r="T16" s="20" t="s">
        <v>330</v>
      </c>
      <c r="U16" s="2" t="s">
        <v>309</v>
      </c>
      <c r="V16" s="2" t="s">
        <v>175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>
      <c r="A17" s="8">
        <v>2016.0</v>
      </c>
      <c r="B17" s="8" t="s">
        <v>147</v>
      </c>
      <c r="C17" s="8">
        <v>7.0</v>
      </c>
      <c r="D17" s="2" t="s">
        <v>150</v>
      </c>
      <c r="E17" s="2"/>
      <c r="F17" s="8">
        <v>246.0</v>
      </c>
      <c r="G17" s="2" t="s">
        <v>154</v>
      </c>
      <c r="H17" s="2" t="s">
        <v>335</v>
      </c>
      <c r="I17" s="2" t="s">
        <v>336</v>
      </c>
      <c r="J17" s="11">
        <v>94.9</v>
      </c>
      <c r="K17" s="8"/>
      <c r="L17" s="8"/>
      <c r="M17" s="14">
        <v>10.0</v>
      </c>
      <c r="N17" s="15">
        <v>0.4840277777777778</v>
      </c>
      <c r="O17" s="17" t="s">
        <v>337</v>
      </c>
      <c r="P17" s="15">
        <v>0.545138888888889</v>
      </c>
      <c r="Q17" s="15" t="s">
        <v>175</v>
      </c>
      <c r="R17" s="15" t="s">
        <v>175</v>
      </c>
      <c r="S17" s="18">
        <v>0.7194444444444444</v>
      </c>
      <c r="T17" s="20" t="s">
        <v>339</v>
      </c>
      <c r="U17" s="2" t="s">
        <v>287</v>
      </c>
      <c r="V17" s="2" t="s">
        <v>175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>
      <c r="A18" s="8">
        <v>2016.0</v>
      </c>
      <c r="B18" s="8" t="s">
        <v>147</v>
      </c>
      <c r="C18" s="8">
        <v>9.0</v>
      </c>
      <c r="D18" s="2" t="s">
        <v>244</v>
      </c>
      <c r="E18" s="2"/>
      <c r="F18" s="8">
        <v>247.0</v>
      </c>
      <c r="G18" s="2" t="s">
        <v>154</v>
      </c>
      <c r="H18" s="2" t="s">
        <v>342</v>
      </c>
      <c r="I18" s="2" t="s">
        <v>343</v>
      </c>
      <c r="J18" s="11">
        <v>15.3</v>
      </c>
      <c r="K18" s="8"/>
      <c r="L18" s="8"/>
      <c r="M18" s="14">
        <v>1.0</v>
      </c>
      <c r="N18" s="15">
        <v>0.4479166666666667</v>
      </c>
      <c r="O18" s="17" t="s">
        <v>345</v>
      </c>
      <c r="P18" s="15">
        <v>0.517361111111111</v>
      </c>
      <c r="Q18" s="15">
        <v>0.5833333333333334</v>
      </c>
      <c r="R18" s="15" t="s">
        <v>175</v>
      </c>
      <c r="S18" s="18">
        <v>0.6270833333333333</v>
      </c>
      <c r="T18" s="20" t="s">
        <v>346</v>
      </c>
      <c r="U18" s="2" t="s">
        <v>347</v>
      </c>
      <c r="V18" s="2" t="s">
        <v>175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>
      <c r="A19" s="8">
        <v>2016.0</v>
      </c>
      <c r="B19" s="8" t="s">
        <v>147</v>
      </c>
      <c r="C19" s="8">
        <v>9.0</v>
      </c>
      <c r="D19" s="2" t="s">
        <v>244</v>
      </c>
      <c r="E19" s="2"/>
      <c r="F19" s="8">
        <v>248.0</v>
      </c>
      <c r="G19" s="2" t="s">
        <v>154</v>
      </c>
      <c r="H19" s="2" t="s">
        <v>357</v>
      </c>
      <c r="I19" s="2" t="s">
        <v>359</v>
      </c>
      <c r="J19" s="11">
        <v>26.5</v>
      </c>
      <c r="K19" s="8"/>
      <c r="L19" s="8"/>
      <c r="M19" s="14">
        <v>2.0</v>
      </c>
      <c r="N19" s="15">
        <v>0.4513888888888889</v>
      </c>
      <c r="O19" s="17" t="s">
        <v>364</v>
      </c>
      <c r="P19" s="15">
        <v>0.5194444444444445</v>
      </c>
      <c r="Q19" s="15">
        <v>0.5868055555555556</v>
      </c>
      <c r="R19" s="15" t="s">
        <v>175</v>
      </c>
      <c r="S19" s="18">
        <v>0.6284722222222222</v>
      </c>
      <c r="T19" s="20" t="s">
        <v>365</v>
      </c>
      <c r="U19" s="2" t="s">
        <v>367</v>
      </c>
      <c r="V19" s="2" t="s">
        <v>175</v>
      </c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>
      <c r="A20" s="8">
        <v>2016.0</v>
      </c>
      <c r="B20" s="8" t="s">
        <v>147</v>
      </c>
      <c r="C20" s="8">
        <v>9.0</v>
      </c>
      <c r="D20" s="2" t="s">
        <v>244</v>
      </c>
      <c r="E20" s="2"/>
      <c r="F20" s="8">
        <v>249.0</v>
      </c>
      <c r="G20" s="2" t="s">
        <v>154</v>
      </c>
      <c r="H20" s="2" t="s">
        <v>371</v>
      </c>
      <c r="I20" s="2" t="s">
        <v>372</v>
      </c>
      <c r="J20" s="11">
        <v>34.3</v>
      </c>
      <c r="K20" s="8"/>
      <c r="L20" s="8"/>
      <c r="M20" s="14">
        <v>3.0</v>
      </c>
      <c r="N20" s="15">
        <v>0.4548611111111111</v>
      </c>
      <c r="O20" s="17" t="s">
        <v>377</v>
      </c>
      <c r="P20" s="15">
        <v>0.5208333333333334</v>
      </c>
      <c r="Q20" s="15">
        <v>0.5888888888888889</v>
      </c>
      <c r="R20" s="15" t="s">
        <v>175</v>
      </c>
      <c r="S20" s="18">
        <v>0.6305555555555555</v>
      </c>
      <c r="T20" s="20" t="s">
        <v>380</v>
      </c>
      <c r="U20" s="2" t="s">
        <v>267</v>
      </c>
      <c r="V20" s="2" t="s">
        <v>175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>
      <c r="A21" s="8">
        <v>2016.0</v>
      </c>
      <c r="B21" s="8" t="s">
        <v>147</v>
      </c>
      <c r="C21" s="8">
        <v>9.0</v>
      </c>
      <c r="D21" s="2" t="s">
        <v>244</v>
      </c>
      <c r="E21" s="2"/>
      <c r="F21" s="8">
        <v>250.0</v>
      </c>
      <c r="G21" s="2" t="s">
        <v>154</v>
      </c>
      <c r="H21" s="2" t="s">
        <v>391</v>
      </c>
      <c r="I21" s="2" t="s">
        <v>392</v>
      </c>
      <c r="J21" s="11">
        <v>40.0</v>
      </c>
      <c r="K21" s="8"/>
      <c r="L21" s="8"/>
      <c r="M21" s="14">
        <v>4.0</v>
      </c>
      <c r="N21" s="15">
        <v>0.45694444444444443</v>
      </c>
      <c r="O21" s="17" t="s">
        <v>394</v>
      </c>
      <c r="P21" s="15">
        <v>0.5256944444444445</v>
      </c>
      <c r="Q21" s="15">
        <v>0.5930555555555556</v>
      </c>
      <c r="R21" s="15" t="s">
        <v>175</v>
      </c>
      <c r="S21" s="18">
        <v>0.6319444444444444</v>
      </c>
      <c r="T21" s="20" t="s">
        <v>396</v>
      </c>
      <c r="U21" s="2" t="s">
        <v>309</v>
      </c>
      <c r="V21" s="2" t="s">
        <v>175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>
      <c r="A22" s="8">
        <v>2016.0</v>
      </c>
      <c r="B22" s="8" t="s">
        <v>147</v>
      </c>
      <c r="C22" s="8">
        <v>9.0</v>
      </c>
      <c r="D22" s="2" t="s">
        <v>244</v>
      </c>
      <c r="E22" s="2"/>
      <c r="F22" s="8">
        <v>251.0</v>
      </c>
      <c r="G22" s="2" t="s">
        <v>154</v>
      </c>
      <c r="H22" s="2" t="s">
        <v>403</v>
      </c>
      <c r="I22" s="2" t="s">
        <v>405</v>
      </c>
      <c r="J22" s="11">
        <v>40.0</v>
      </c>
      <c r="K22" s="8"/>
      <c r="L22" s="8"/>
      <c r="M22" s="14">
        <v>5.0</v>
      </c>
      <c r="N22" s="15">
        <v>0.4583333333333333</v>
      </c>
      <c r="O22" s="17" t="s">
        <v>410</v>
      </c>
      <c r="P22" s="15">
        <v>0.5277777777777778</v>
      </c>
      <c r="Q22" s="15">
        <v>0.5958333333333333</v>
      </c>
      <c r="R22" s="15" t="s">
        <v>175</v>
      </c>
      <c r="S22" s="18">
        <v>0.6333333333333333</v>
      </c>
      <c r="T22" s="20" t="s">
        <v>412</v>
      </c>
      <c r="U22" s="2" t="s">
        <v>414</v>
      </c>
      <c r="V22" s="2" t="s">
        <v>175</v>
      </c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>
      <c r="A23" s="8">
        <v>2016.0</v>
      </c>
      <c r="B23" s="8" t="s">
        <v>147</v>
      </c>
      <c r="C23" s="8">
        <v>9.0</v>
      </c>
      <c r="D23" s="2" t="s">
        <v>244</v>
      </c>
      <c r="E23" s="2"/>
      <c r="F23" s="8">
        <v>252.0</v>
      </c>
      <c r="G23" s="2" t="s">
        <v>154</v>
      </c>
      <c r="H23" s="2" t="s">
        <v>440</v>
      </c>
      <c r="I23" s="2" t="s">
        <v>442</v>
      </c>
      <c r="J23" s="11">
        <v>41.7</v>
      </c>
      <c r="K23" s="8"/>
      <c r="L23" s="8"/>
      <c r="M23" s="14">
        <v>6.0</v>
      </c>
      <c r="N23" s="15">
        <v>0.4618055555555556</v>
      </c>
      <c r="O23" s="17" t="s">
        <v>443</v>
      </c>
      <c r="P23" s="15">
        <v>0.5305555555555556</v>
      </c>
      <c r="Q23" s="15">
        <v>0.5972222222222222</v>
      </c>
      <c r="R23" s="15" t="s">
        <v>175</v>
      </c>
      <c r="S23" s="18">
        <v>0.6361111111111112</v>
      </c>
      <c r="T23" s="20" t="s">
        <v>444</v>
      </c>
      <c r="U23" s="2" t="s">
        <v>448</v>
      </c>
      <c r="V23" s="2" t="s">
        <v>175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>
      <c r="A24" s="8">
        <v>2016.0</v>
      </c>
      <c r="B24" s="8" t="s">
        <v>147</v>
      </c>
      <c r="C24" s="8">
        <v>9.0</v>
      </c>
      <c r="D24" s="2" t="s">
        <v>244</v>
      </c>
      <c r="E24" s="2"/>
      <c r="F24" s="8">
        <v>253.0</v>
      </c>
      <c r="G24" s="2" t="s">
        <v>154</v>
      </c>
      <c r="H24" s="2" t="s">
        <v>452</v>
      </c>
      <c r="I24" s="2" t="s">
        <v>453</v>
      </c>
      <c r="J24" s="11">
        <v>55.2</v>
      </c>
      <c r="K24" s="8"/>
      <c r="L24" s="8"/>
      <c r="M24" s="14">
        <v>7.0</v>
      </c>
      <c r="N24" s="15">
        <v>0.46388888888888885</v>
      </c>
      <c r="O24" s="17" t="s">
        <v>455</v>
      </c>
      <c r="P24" s="15">
        <v>0.5333333333333333</v>
      </c>
      <c r="Q24" s="15">
        <v>0.6013888888888889</v>
      </c>
      <c r="R24" s="15" t="s">
        <v>175</v>
      </c>
      <c r="S24" s="18">
        <v>0.6375000000000001</v>
      </c>
      <c r="T24" s="20" t="s">
        <v>457</v>
      </c>
      <c r="U24" s="2" t="s">
        <v>459</v>
      </c>
      <c r="V24" s="2" t="s">
        <v>175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>
      <c r="A25" s="8">
        <v>2016.0</v>
      </c>
      <c r="B25" s="8" t="s">
        <v>147</v>
      </c>
      <c r="C25" s="8">
        <v>9.0</v>
      </c>
      <c r="D25" s="2" t="s">
        <v>461</v>
      </c>
      <c r="E25" s="2"/>
      <c r="F25" s="8">
        <v>254.0</v>
      </c>
      <c r="G25" s="2" t="s">
        <v>154</v>
      </c>
      <c r="H25" s="2" t="s">
        <v>463</v>
      </c>
      <c r="I25" s="2" t="s">
        <v>464</v>
      </c>
      <c r="J25" s="11">
        <v>65.6</v>
      </c>
      <c r="K25" s="8"/>
      <c r="L25" s="8"/>
      <c r="M25" s="14">
        <v>8.0</v>
      </c>
      <c r="N25" s="15">
        <v>0.46597222222222223</v>
      </c>
      <c r="O25" s="17" t="s">
        <v>468</v>
      </c>
      <c r="P25" s="15">
        <v>0.5361111111111111</v>
      </c>
      <c r="Q25" s="15">
        <v>0.6041666666666666</v>
      </c>
      <c r="R25" s="15" t="s">
        <v>175</v>
      </c>
      <c r="S25" s="18">
        <v>0.642361111111111</v>
      </c>
      <c r="T25" s="20" t="s">
        <v>469</v>
      </c>
      <c r="U25" s="2" t="s">
        <v>309</v>
      </c>
      <c r="V25" s="2" t="s">
        <v>175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>
      <c r="A26" s="8">
        <v>2016.0</v>
      </c>
      <c r="B26" s="8" t="s">
        <v>147</v>
      </c>
      <c r="C26" s="8">
        <v>9.0</v>
      </c>
      <c r="D26" s="2" t="s">
        <v>461</v>
      </c>
      <c r="E26" s="2"/>
      <c r="F26" s="8">
        <v>255.0</v>
      </c>
      <c r="G26" s="2" t="s">
        <v>154</v>
      </c>
      <c r="H26" s="2" t="s">
        <v>473</v>
      </c>
      <c r="I26" s="2" t="s">
        <v>475</v>
      </c>
      <c r="J26" s="11">
        <v>86.1</v>
      </c>
      <c r="K26" s="8"/>
      <c r="L26" s="8"/>
      <c r="M26" s="14">
        <v>9.0</v>
      </c>
      <c r="N26" s="15">
        <v>0.46875</v>
      </c>
      <c r="O26" s="17" t="s">
        <v>478</v>
      </c>
      <c r="P26" s="15">
        <v>0.5395833333333333</v>
      </c>
      <c r="Q26" s="15">
        <v>0.6069444444444444</v>
      </c>
      <c r="R26" s="15" t="s">
        <v>175</v>
      </c>
      <c r="S26" s="18">
        <v>0.6444444444444445</v>
      </c>
      <c r="T26" s="20" t="s">
        <v>481</v>
      </c>
      <c r="U26" s="2" t="s">
        <v>482</v>
      </c>
      <c r="V26" s="2" t="s">
        <v>175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>
      <c r="A27" s="8">
        <v>2016.0</v>
      </c>
      <c r="B27" s="8" t="s">
        <v>147</v>
      </c>
      <c r="C27" s="8">
        <v>9.0</v>
      </c>
      <c r="D27" s="2" t="s">
        <v>461</v>
      </c>
      <c r="E27" s="2"/>
      <c r="F27" s="8">
        <v>256.0</v>
      </c>
      <c r="G27" s="2" t="s">
        <v>154</v>
      </c>
      <c r="H27" s="2" t="s">
        <v>485</v>
      </c>
      <c r="I27" s="2" t="s">
        <v>487</v>
      </c>
      <c r="J27" s="11">
        <v>103.4</v>
      </c>
      <c r="K27" s="8"/>
      <c r="L27" s="8"/>
      <c r="M27" s="14">
        <v>10.0</v>
      </c>
      <c r="N27" s="15">
        <v>0.47222222222222227</v>
      </c>
      <c r="O27" s="17" t="s">
        <v>306</v>
      </c>
      <c r="P27" s="15">
        <v>0.5416666666666666</v>
      </c>
      <c r="Q27" s="15">
        <v>0.611111111111111</v>
      </c>
      <c r="R27" s="15" t="s">
        <v>175</v>
      </c>
      <c r="S27" s="18">
        <v>0.6479166666666667</v>
      </c>
      <c r="T27" s="20" t="s">
        <v>489</v>
      </c>
      <c r="U27" s="2" t="s">
        <v>414</v>
      </c>
      <c r="V27" s="2" t="s">
        <v>175</v>
      </c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>
      <c r="A28" s="8">
        <v>2016.0</v>
      </c>
      <c r="B28" s="8" t="s">
        <v>147</v>
      </c>
      <c r="C28" s="8">
        <v>10.0</v>
      </c>
      <c r="D28" s="2" t="s">
        <v>492</v>
      </c>
      <c r="E28" s="2"/>
      <c r="F28" s="8">
        <v>257.0</v>
      </c>
      <c r="G28" s="2" t="s">
        <v>154</v>
      </c>
      <c r="H28" s="2" t="s">
        <v>493</v>
      </c>
      <c r="I28" s="2" t="s">
        <v>495</v>
      </c>
      <c r="J28" s="11">
        <v>16.1</v>
      </c>
      <c r="K28" s="8"/>
      <c r="L28" s="8"/>
      <c r="M28" s="14">
        <v>1.0</v>
      </c>
      <c r="N28" s="15">
        <v>0.3756944444444445</v>
      </c>
      <c r="O28" s="17" t="s">
        <v>497</v>
      </c>
      <c r="P28" s="15">
        <v>0.4583333333333333</v>
      </c>
      <c r="Q28" s="15">
        <v>0.5388888888888889</v>
      </c>
      <c r="R28" s="15" t="s">
        <v>175</v>
      </c>
      <c r="S28" s="18">
        <v>0.5638888888888889</v>
      </c>
      <c r="T28" s="20" t="s">
        <v>499</v>
      </c>
      <c r="U28" s="2" t="s">
        <v>309</v>
      </c>
      <c r="V28" s="2" t="s">
        <v>175</v>
      </c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>
      <c r="A29" s="8">
        <v>2016.0</v>
      </c>
      <c r="B29" s="8" t="s">
        <v>147</v>
      </c>
      <c r="C29" s="8">
        <v>10.0</v>
      </c>
      <c r="D29" s="2" t="s">
        <v>492</v>
      </c>
      <c r="E29" s="2"/>
      <c r="F29" s="8">
        <v>258.0</v>
      </c>
      <c r="G29" s="2" t="s">
        <v>154</v>
      </c>
      <c r="H29" s="2" t="s">
        <v>503</v>
      </c>
      <c r="I29" s="2" t="s">
        <v>504</v>
      </c>
      <c r="J29" s="11">
        <v>27.1</v>
      </c>
      <c r="K29" s="8"/>
      <c r="L29" s="8"/>
      <c r="M29" s="14">
        <v>2.0</v>
      </c>
      <c r="N29" s="15">
        <v>0.37916666666666665</v>
      </c>
      <c r="O29" s="17" t="s">
        <v>505</v>
      </c>
      <c r="P29" s="15">
        <v>0.4618055555555556</v>
      </c>
      <c r="Q29" s="15">
        <v>0.5409722222222222</v>
      </c>
      <c r="R29" s="15" t="s">
        <v>175</v>
      </c>
      <c r="S29" s="18">
        <v>0.5659722222222222</v>
      </c>
      <c r="T29" s="20" t="s">
        <v>507</v>
      </c>
      <c r="U29" s="2" t="s">
        <v>509</v>
      </c>
      <c r="V29" s="2" t="s">
        <v>175</v>
      </c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>
      <c r="A30" s="8">
        <v>2016.0</v>
      </c>
      <c r="B30" s="8" t="s">
        <v>147</v>
      </c>
      <c r="C30" s="8">
        <v>10.0</v>
      </c>
      <c r="D30" s="2" t="s">
        <v>511</v>
      </c>
      <c r="E30" s="2"/>
      <c r="F30" s="8">
        <v>259.0</v>
      </c>
      <c r="G30" s="2" t="s">
        <v>154</v>
      </c>
      <c r="H30" s="2" t="s">
        <v>513</v>
      </c>
      <c r="I30" s="2" t="s">
        <v>515</v>
      </c>
      <c r="J30" s="11">
        <v>31.1</v>
      </c>
      <c r="K30" s="8"/>
      <c r="L30" s="8"/>
      <c r="M30" s="14">
        <v>3.0</v>
      </c>
      <c r="N30" s="15">
        <v>0.3833333333333333</v>
      </c>
      <c r="O30" s="17" t="s">
        <v>516</v>
      </c>
      <c r="P30" s="15">
        <v>0.46458333333333335</v>
      </c>
      <c r="Q30" s="15">
        <v>0.5430555555555555</v>
      </c>
      <c r="R30" s="15">
        <v>0.6006944444444444</v>
      </c>
      <c r="S30" s="18">
        <v>0.6715277777777778</v>
      </c>
      <c r="T30" s="20" t="s">
        <v>517</v>
      </c>
      <c r="U30" s="2" t="s">
        <v>367</v>
      </c>
      <c r="V30" s="2" t="s">
        <v>518</v>
      </c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>
      <c r="A31" s="8">
        <v>2016.0</v>
      </c>
      <c r="B31" s="8" t="s">
        <v>147</v>
      </c>
      <c r="C31" s="8">
        <v>10.0</v>
      </c>
      <c r="D31" s="2" t="s">
        <v>511</v>
      </c>
      <c r="E31" s="2"/>
      <c r="F31" s="8">
        <v>260.0</v>
      </c>
      <c r="G31" s="2" t="s">
        <v>154</v>
      </c>
      <c r="H31" s="2" t="s">
        <v>521</v>
      </c>
      <c r="I31" s="2" t="s">
        <v>522</v>
      </c>
      <c r="J31" s="11">
        <v>49.7</v>
      </c>
      <c r="K31" s="8"/>
      <c r="L31" s="8"/>
      <c r="M31" s="14">
        <v>4.0</v>
      </c>
      <c r="N31" s="15">
        <v>0.3854166666666667</v>
      </c>
      <c r="O31" s="17" t="s">
        <v>524</v>
      </c>
      <c r="P31" s="15">
        <v>0.4666666666666666</v>
      </c>
      <c r="Q31" s="15">
        <v>0.5444444444444444</v>
      </c>
      <c r="R31" s="15">
        <v>0.6020833333333333</v>
      </c>
      <c r="S31" s="18">
        <v>0.19722222222222222</v>
      </c>
      <c r="T31" s="20" t="s">
        <v>525</v>
      </c>
      <c r="U31" s="2" t="s">
        <v>287</v>
      </c>
      <c r="V31" s="2" t="s">
        <v>526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>
      <c r="A32" s="8">
        <v>2016.0</v>
      </c>
      <c r="B32" s="8" t="s">
        <v>147</v>
      </c>
      <c r="C32" s="8">
        <v>10.0</v>
      </c>
      <c r="D32" s="2" t="s">
        <v>150</v>
      </c>
      <c r="E32" s="2"/>
      <c r="F32" s="8">
        <v>261.0</v>
      </c>
      <c r="G32" s="2" t="s">
        <v>154</v>
      </c>
      <c r="H32" s="2" t="s">
        <v>528</v>
      </c>
      <c r="I32" s="2" t="s">
        <v>529</v>
      </c>
      <c r="J32" s="11">
        <v>55.1</v>
      </c>
      <c r="K32" s="8"/>
      <c r="L32" s="8"/>
      <c r="M32" s="14">
        <v>5.0</v>
      </c>
      <c r="N32" s="15">
        <v>0.3875</v>
      </c>
      <c r="O32" s="17" t="s">
        <v>530</v>
      </c>
      <c r="P32" s="15">
        <v>0.4680555555555555</v>
      </c>
      <c r="Q32" s="15">
        <v>0.5458333333333333</v>
      </c>
      <c r="R32" s="15">
        <v>0.6069444444444444</v>
      </c>
      <c r="S32" s="18">
        <v>0.7097222222222223</v>
      </c>
      <c r="T32" s="20" t="s">
        <v>531</v>
      </c>
      <c r="U32" s="2" t="s">
        <v>258</v>
      </c>
      <c r="V32" s="2" t="s">
        <v>175</v>
      </c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>
      <c r="A33" s="8">
        <v>2016.0</v>
      </c>
      <c r="B33" s="8" t="s">
        <v>147</v>
      </c>
      <c r="C33" s="8">
        <v>10.0</v>
      </c>
      <c r="D33" s="2" t="s">
        <v>150</v>
      </c>
      <c r="E33" s="2"/>
      <c r="F33" s="8">
        <v>262.0</v>
      </c>
      <c r="G33" s="2" t="s">
        <v>154</v>
      </c>
      <c r="H33" s="2" t="s">
        <v>533</v>
      </c>
      <c r="I33" s="2" t="s">
        <v>534</v>
      </c>
      <c r="J33" s="11">
        <v>51.1</v>
      </c>
      <c r="K33" s="8"/>
      <c r="L33" s="8"/>
      <c r="M33" s="14">
        <v>6.0</v>
      </c>
      <c r="N33" s="15">
        <v>0.38958333333333334</v>
      </c>
      <c r="O33" s="17" t="s">
        <v>536</v>
      </c>
      <c r="P33" s="15">
        <v>0.4701388888888889</v>
      </c>
      <c r="Q33" s="15">
        <v>0.5472222222222222</v>
      </c>
      <c r="R33" s="15">
        <v>0.6090277777777778</v>
      </c>
      <c r="S33" s="18">
        <v>0.7291666666666666</v>
      </c>
      <c r="T33" s="20" t="s">
        <v>257</v>
      </c>
      <c r="U33" s="2" t="s">
        <v>309</v>
      </c>
      <c r="V33" s="2" t="s">
        <v>175</v>
      </c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>
      <c r="A34" s="8">
        <v>2016.0</v>
      </c>
      <c r="B34" s="8" t="s">
        <v>147</v>
      </c>
      <c r="C34" s="8">
        <v>10.0</v>
      </c>
      <c r="D34" s="2" t="s">
        <v>150</v>
      </c>
      <c r="E34" s="2"/>
      <c r="F34" s="8">
        <v>263.0</v>
      </c>
      <c r="G34" s="2" t="s">
        <v>154</v>
      </c>
      <c r="H34" s="2" t="s">
        <v>537</v>
      </c>
      <c r="I34" s="2" t="s">
        <v>538</v>
      </c>
      <c r="J34" s="11">
        <v>60.2</v>
      </c>
      <c r="K34" s="8"/>
      <c r="L34" s="8"/>
      <c r="M34" s="14">
        <v>7.0</v>
      </c>
      <c r="N34" s="15">
        <v>0.3923611111111111</v>
      </c>
      <c r="O34" s="17" t="s">
        <v>540</v>
      </c>
      <c r="P34" s="15">
        <v>0.47222222222222227</v>
      </c>
      <c r="Q34" s="15">
        <v>0.5499999999999999</v>
      </c>
      <c r="R34" s="15">
        <v>0.6118055555555556</v>
      </c>
      <c r="S34" s="18">
        <v>0.7125</v>
      </c>
      <c r="T34" s="20" t="s">
        <v>541</v>
      </c>
      <c r="U34" s="2" t="s">
        <v>258</v>
      </c>
      <c r="V34" s="2" t="s">
        <v>175</v>
      </c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>
      <c r="A35" s="8">
        <v>2016.0</v>
      </c>
      <c r="B35" s="8" t="s">
        <v>147</v>
      </c>
      <c r="C35" s="8">
        <v>10.0</v>
      </c>
      <c r="D35" s="2" t="s">
        <v>150</v>
      </c>
      <c r="E35" s="2"/>
      <c r="F35" s="8">
        <v>264.0</v>
      </c>
      <c r="G35" s="2" t="s">
        <v>154</v>
      </c>
      <c r="H35" s="2" t="s">
        <v>544</v>
      </c>
      <c r="I35" s="2" t="s">
        <v>545</v>
      </c>
      <c r="J35" s="11">
        <v>73.1</v>
      </c>
      <c r="K35" s="8"/>
      <c r="L35" s="8"/>
      <c r="M35" s="14">
        <v>8.0</v>
      </c>
      <c r="N35" s="15">
        <v>0.3951388888888889</v>
      </c>
      <c r="O35" s="17" t="s">
        <v>547</v>
      </c>
      <c r="P35" s="15">
        <v>0.47500000000000003</v>
      </c>
      <c r="Q35" s="15">
        <v>0.5527777777777778</v>
      </c>
      <c r="R35" s="15">
        <v>0.6138888888888888</v>
      </c>
      <c r="S35" s="18">
        <v>0.7256944444444445</v>
      </c>
      <c r="T35" s="20" t="s">
        <v>548</v>
      </c>
      <c r="U35" s="2" t="s">
        <v>267</v>
      </c>
      <c r="V35" s="2" t="s">
        <v>175</v>
      </c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>
      <c r="A36" s="8">
        <v>2016.0</v>
      </c>
      <c r="B36" s="8" t="s">
        <v>147</v>
      </c>
      <c r="C36" s="8">
        <v>10.0</v>
      </c>
      <c r="D36" s="2" t="s">
        <v>150</v>
      </c>
      <c r="E36" s="2"/>
      <c r="F36" s="8">
        <v>265.0</v>
      </c>
      <c r="G36" s="2" t="s">
        <v>154</v>
      </c>
      <c r="H36" s="2" t="s">
        <v>550</v>
      </c>
      <c r="I36" s="2" t="s">
        <v>551</v>
      </c>
      <c r="J36" s="11">
        <v>85.0</v>
      </c>
      <c r="K36" s="8"/>
      <c r="L36" s="8"/>
      <c r="M36" s="14">
        <v>9.0</v>
      </c>
      <c r="N36" s="15">
        <v>0.3979166666666667</v>
      </c>
      <c r="O36" s="17" t="s">
        <v>552</v>
      </c>
      <c r="P36" s="15">
        <v>0.4770833333333333</v>
      </c>
      <c r="Q36" s="15">
        <v>0.5555555555555556</v>
      </c>
      <c r="R36" s="15">
        <v>0.6166666666666667</v>
      </c>
      <c r="S36" s="18">
        <v>0.7215277777777778</v>
      </c>
      <c r="T36" s="20" t="s">
        <v>553</v>
      </c>
      <c r="U36" s="2" t="s">
        <v>287</v>
      </c>
      <c r="V36" s="2" t="s">
        <v>175</v>
      </c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>
      <c r="A37" s="8">
        <v>2016.0</v>
      </c>
      <c r="B37" s="8" t="s">
        <v>147</v>
      </c>
      <c r="C37" s="8">
        <v>10.0</v>
      </c>
      <c r="D37" s="2" t="s">
        <v>150</v>
      </c>
      <c r="E37" s="2"/>
      <c r="F37" s="8">
        <v>267.0</v>
      </c>
      <c r="G37" s="2" t="s">
        <v>154</v>
      </c>
      <c r="H37" s="2" t="s">
        <v>554</v>
      </c>
      <c r="I37" s="2" t="s">
        <v>555</v>
      </c>
      <c r="J37" s="11">
        <v>106.4</v>
      </c>
      <c r="K37" s="8"/>
      <c r="L37" s="8"/>
      <c r="M37" s="14">
        <v>10.0</v>
      </c>
      <c r="N37" s="15">
        <v>0.40069444444444446</v>
      </c>
      <c r="O37" s="17" t="s">
        <v>556</v>
      </c>
      <c r="P37" s="15">
        <v>0.4784722222222222</v>
      </c>
      <c r="Q37" s="15">
        <v>0.5576388888888889</v>
      </c>
      <c r="R37" s="15">
        <v>0.11875000000000001</v>
      </c>
      <c r="S37" s="18">
        <v>0.720138888888889</v>
      </c>
      <c r="T37" s="20" t="s">
        <v>557</v>
      </c>
      <c r="U37" s="2" t="s">
        <v>309</v>
      </c>
      <c r="V37" s="2" t="s">
        <v>175</v>
      </c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>
      <c r="A38" s="8">
        <v>2016.0</v>
      </c>
      <c r="B38" s="8" t="s">
        <v>147</v>
      </c>
      <c r="C38" s="8">
        <v>10.0</v>
      </c>
      <c r="D38" s="2" t="s">
        <v>244</v>
      </c>
      <c r="E38" s="2"/>
      <c r="F38" s="8">
        <v>268.0</v>
      </c>
      <c r="G38" s="2" t="s">
        <v>558</v>
      </c>
      <c r="H38" s="2" t="s">
        <v>559</v>
      </c>
      <c r="I38" s="2" t="s">
        <v>560</v>
      </c>
      <c r="J38" s="11">
        <v>21.4</v>
      </c>
      <c r="K38" s="8"/>
      <c r="L38" s="8"/>
      <c r="M38" s="14">
        <v>1.0</v>
      </c>
      <c r="N38" s="15">
        <v>0.5694444444444444</v>
      </c>
      <c r="O38" s="17" t="s">
        <v>561</v>
      </c>
      <c r="P38" s="15">
        <v>0.6229166666666667</v>
      </c>
      <c r="Q38" s="15" t="s">
        <v>175</v>
      </c>
      <c r="R38" s="15" t="s">
        <v>175</v>
      </c>
      <c r="S38" s="18">
        <v>0.7319444444444444</v>
      </c>
      <c r="T38" s="20" t="s">
        <v>562</v>
      </c>
      <c r="U38" s="2" t="s">
        <v>309</v>
      </c>
      <c r="V38" s="2" t="s">
        <v>175</v>
      </c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>
      <c r="A39" s="8">
        <v>2016.0</v>
      </c>
      <c r="B39" s="8" t="s">
        <v>147</v>
      </c>
      <c r="C39" s="8">
        <v>10.0</v>
      </c>
      <c r="D39" s="2" t="s">
        <v>244</v>
      </c>
      <c r="E39" s="2"/>
      <c r="F39" s="8">
        <v>269.0</v>
      </c>
      <c r="G39" s="2" t="s">
        <v>558</v>
      </c>
      <c r="H39" s="2" t="s">
        <v>563</v>
      </c>
      <c r="I39" s="2" t="s">
        <v>564</v>
      </c>
      <c r="J39" s="11">
        <v>24.8</v>
      </c>
      <c r="K39" s="8"/>
      <c r="L39" s="8"/>
      <c r="M39" s="14">
        <v>2.0</v>
      </c>
      <c r="N39" s="15">
        <v>0.5722222222222222</v>
      </c>
      <c r="O39" s="17" t="s">
        <v>565</v>
      </c>
      <c r="P39" s="15">
        <v>0.6256944444444444</v>
      </c>
      <c r="Q39" s="15" t="s">
        <v>175</v>
      </c>
      <c r="R39" s="15" t="s">
        <v>175</v>
      </c>
      <c r="S39" s="18">
        <v>0.7361111111111112</v>
      </c>
      <c r="T39" s="20" t="s">
        <v>566</v>
      </c>
      <c r="U39" s="2" t="s">
        <v>287</v>
      </c>
      <c r="V39" s="2" t="s">
        <v>567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>
      <c r="A40" s="8">
        <v>2016.0</v>
      </c>
      <c r="B40" s="8" t="s">
        <v>147</v>
      </c>
      <c r="C40" s="8">
        <v>12.0</v>
      </c>
      <c r="D40" s="2" t="s">
        <v>568</v>
      </c>
      <c r="E40" s="2"/>
      <c r="F40" s="8">
        <v>270.0</v>
      </c>
      <c r="G40" s="2" t="s">
        <v>154</v>
      </c>
      <c r="H40" s="2" t="s">
        <v>569</v>
      </c>
      <c r="I40" s="2" t="s">
        <v>570</v>
      </c>
      <c r="J40" s="11">
        <v>32.0</v>
      </c>
      <c r="K40" s="8"/>
      <c r="L40" s="8"/>
      <c r="M40" s="14">
        <v>1.0</v>
      </c>
      <c r="N40" s="15">
        <v>0.3666666666666667</v>
      </c>
      <c r="O40" s="17" t="s">
        <v>571</v>
      </c>
      <c r="P40" s="15" t="s">
        <v>175</v>
      </c>
      <c r="Q40" s="15" t="s">
        <v>175</v>
      </c>
      <c r="R40" s="15" t="s">
        <v>175</v>
      </c>
      <c r="S40" s="18">
        <v>0.4381944444444445</v>
      </c>
      <c r="T40" s="20" t="s">
        <v>572</v>
      </c>
      <c r="U40" s="2" t="s">
        <v>309</v>
      </c>
      <c r="V40" s="2" t="s">
        <v>175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>
      <c r="A41" s="8">
        <v>2016.0</v>
      </c>
      <c r="B41" s="8" t="s">
        <v>147</v>
      </c>
      <c r="C41" s="8">
        <v>12.0</v>
      </c>
      <c r="D41" s="2" t="s">
        <v>568</v>
      </c>
      <c r="E41" s="2"/>
      <c r="F41" s="8">
        <v>271.0</v>
      </c>
      <c r="G41" s="2" t="s">
        <v>154</v>
      </c>
      <c r="H41" s="2" t="s">
        <v>573</v>
      </c>
      <c r="I41" s="2" t="s">
        <v>574</v>
      </c>
      <c r="J41" s="11">
        <v>40.5</v>
      </c>
      <c r="K41" s="8"/>
      <c r="L41" s="8"/>
      <c r="M41" s="14">
        <v>2.0</v>
      </c>
      <c r="N41" s="15">
        <v>0.37222222222222223</v>
      </c>
      <c r="O41" s="17" t="s">
        <v>576</v>
      </c>
      <c r="P41" s="15" t="s">
        <v>175</v>
      </c>
      <c r="Q41" s="15" t="s">
        <v>175</v>
      </c>
      <c r="R41" s="15" t="s">
        <v>175</v>
      </c>
      <c r="S41" s="18">
        <v>0.4395833333333334</v>
      </c>
      <c r="T41" s="20" t="s">
        <v>577</v>
      </c>
      <c r="U41" s="2" t="s">
        <v>309</v>
      </c>
      <c r="V41" s="2" t="s">
        <v>175</v>
      </c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>
      <c r="A42" s="8">
        <v>2016.0</v>
      </c>
      <c r="B42" s="8" t="s">
        <v>147</v>
      </c>
      <c r="C42" s="8">
        <v>12.0</v>
      </c>
      <c r="D42" s="2" t="s">
        <v>568</v>
      </c>
      <c r="E42" s="2"/>
      <c r="F42" s="8">
        <v>271.0</v>
      </c>
      <c r="G42" s="2" t="s">
        <v>154</v>
      </c>
      <c r="H42" s="2" t="s">
        <v>578</v>
      </c>
      <c r="I42" s="2" t="s">
        <v>579</v>
      </c>
      <c r="J42" s="11">
        <v>57.3</v>
      </c>
      <c r="K42" s="8"/>
      <c r="L42" s="8"/>
      <c r="M42" s="14">
        <v>3.0</v>
      </c>
      <c r="N42" s="15">
        <v>0.38055555555555554</v>
      </c>
      <c r="O42" s="17" t="s">
        <v>580</v>
      </c>
      <c r="P42" s="15" t="s">
        <v>175</v>
      </c>
      <c r="Q42" s="15" t="s">
        <v>175</v>
      </c>
      <c r="R42" s="15" t="s">
        <v>175</v>
      </c>
      <c r="S42" s="18">
        <v>0.44166666666666665</v>
      </c>
      <c r="T42" s="20" t="s">
        <v>581</v>
      </c>
      <c r="U42" s="2" t="s">
        <v>309</v>
      </c>
      <c r="V42" s="2" t="s">
        <v>582</v>
      </c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>
      <c r="A43" s="8">
        <v>2016.0</v>
      </c>
      <c r="B43" s="8" t="s">
        <v>147</v>
      </c>
      <c r="C43" s="8">
        <v>12.0</v>
      </c>
      <c r="D43" s="2" t="s">
        <v>568</v>
      </c>
      <c r="E43" s="2"/>
      <c r="F43" s="8">
        <v>273.0</v>
      </c>
      <c r="G43" s="2" t="s">
        <v>154</v>
      </c>
      <c r="H43" s="2" t="s">
        <v>583</v>
      </c>
      <c r="I43" s="2" t="s">
        <v>584</v>
      </c>
      <c r="J43" s="11">
        <v>62.0</v>
      </c>
      <c r="K43" s="8"/>
      <c r="L43" s="8"/>
      <c r="M43" s="14">
        <v>4.0</v>
      </c>
      <c r="N43" s="15">
        <v>0.3840277777777778</v>
      </c>
      <c r="O43" s="17" t="s">
        <v>585</v>
      </c>
      <c r="P43" s="15" t="s">
        <v>175</v>
      </c>
      <c r="Q43" s="15" t="s">
        <v>175</v>
      </c>
      <c r="R43" s="15" t="s">
        <v>175</v>
      </c>
      <c r="S43" s="18">
        <v>0.4597222222222222</v>
      </c>
      <c r="T43" s="20" t="s">
        <v>586</v>
      </c>
      <c r="U43" s="2" t="s">
        <v>287</v>
      </c>
      <c r="V43" s="2" t="s">
        <v>587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>
      <c r="A44" s="8">
        <v>2016.0</v>
      </c>
      <c r="B44" s="8" t="s">
        <v>147</v>
      </c>
      <c r="C44" s="8">
        <v>12.0</v>
      </c>
      <c r="D44" s="2" t="s">
        <v>588</v>
      </c>
      <c r="E44" s="2"/>
      <c r="F44" s="8">
        <v>274.0</v>
      </c>
      <c r="G44" s="2" t="s">
        <v>154</v>
      </c>
      <c r="H44" s="2" t="s">
        <v>589</v>
      </c>
      <c r="I44" s="2" t="s">
        <v>590</v>
      </c>
      <c r="J44" s="11">
        <v>68.0</v>
      </c>
      <c r="K44" s="8"/>
      <c r="L44" s="8"/>
      <c r="M44" s="14">
        <v>5.0</v>
      </c>
      <c r="N44" s="15">
        <v>0.38680555555555557</v>
      </c>
      <c r="O44" s="17" t="s">
        <v>591</v>
      </c>
      <c r="P44" s="15" t="s">
        <v>175</v>
      </c>
      <c r="Q44" s="15" t="s">
        <v>175</v>
      </c>
      <c r="R44" s="15" t="s">
        <v>175</v>
      </c>
      <c r="S44" s="18">
        <v>0.47500000000000003</v>
      </c>
      <c r="T44" s="20" t="s">
        <v>592</v>
      </c>
      <c r="U44" s="2" t="s">
        <v>309</v>
      </c>
      <c r="V44" s="2" t="s">
        <v>175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>
      <c r="A45" s="8">
        <v>2016.0</v>
      </c>
      <c r="B45" s="8" t="s">
        <v>147</v>
      </c>
      <c r="C45" s="8">
        <v>12.0</v>
      </c>
      <c r="D45" s="2" t="s">
        <v>588</v>
      </c>
      <c r="E45" s="2"/>
      <c r="F45" s="8">
        <v>275.0</v>
      </c>
      <c r="G45" s="2" t="s">
        <v>154</v>
      </c>
      <c r="H45" s="2" t="s">
        <v>593</v>
      </c>
      <c r="I45" s="2" t="s">
        <v>594</v>
      </c>
      <c r="J45" s="11">
        <v>68.0</v>
      </c>
      <c r="K45" s="8"/>
      <c r="L45" s="8"/>
      <c r="M45" s="14">
        <v>6.0</v>
      </c>
      <c r="N45" s="15">
        <v>0.3902777777777778</v>
      </c>
      <c r="O45" s="17" t="s">
        <v>595</v>
      </c>
      <c r="P45" s="15" t="s">
        <v>175</v>
      </c>
      <c r="Q45" s="15" t="s">
        <v>175</v>
      </c>
      <c r="R45" s="15" t="s">
        <v>175</v>
      </c>
      <c r="S45" s="18">
        <v>0.4777777777777778</v>
      </c>
      <c r="T45" s="20" t="s">
        <v>596</v>
      </c>
      <c r="U45" s="2" t="s">
        <v>309</v>
      </c>
      <c r="V45" s="2" t="s">
        <v>175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>
      <c r="A46" s="8">
        <v>2016.0</v>
      </c>
      <c r="B46" s="8" t="s">
        <v>147</v>
      </c>
      <c r="C46" s="8">
        <v>12.0</v>
      </c>
      <c r="D46" s="2" t="s">
        <v>588</v>
      </c>
      <c r="E46" s="2"/>
      <c r="F46" s="8">
        <v>276.0</v>
      </c>
      <c r="G46" s="2" t="s">
        <v>558</v>
      </c>
      <c r="H46" s="2" t="s">
        <v>597</v>
      </c>
      <c r="I46" s="2" t="s">
        <v>598</v>
      </c>
      <c r="J46" s="11">
        <v>55.7</v>
      </c>
      <c r="K46" s="8"/>
      <c r="L46" s="8"/>
      <c r="M46" s="14">
        <v>7.0</v>
      </c>
      <c r="N46" s="15">
        <v>0.39444444444444443</v>
      </c>
      <c r="O46" s="17" t="s">
        <v>599</v>
      </c>
      <c r="P46" s="15" t="s">
        <v>175</v>
      </c>
      <c r="Q46" s="15" t="s">
        <v>175</v>
      </c>
      <c r="R46" s="15" t="s">
        <v>175</v>
      </c>
      <c r="S46" s="18">
        <v>0.48125</v>
      </c>
      <c r="T46" s="20" t="s">
        <v>600</v>
      </c>
      <c r="U46" s="2" t="s">
        <v>309</v>
      </c>
      <c r="V46" s="2" t="s">
        <v>175</v>
      </c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>
      <c r="A47" s="8">
        <v>2016.0</v>
      </c>
      <c r="B47" s="8" t="s">
        <v>147</v>
      </c>
      <c r="C47" s="8">
        <v>12.0</v>
      </c>
      <c r="D47" s="2" t="s">
        <v>588</v>
      </c>
      <c r="E47" s="2"/>
      <c r="F47" s="8">
        <v>277.0</v>
      </c>
      <c r="G47" s="2" t="s">
        <v>558</v>
      </c>
      <c r="H47" s="2" t="s">
        <v>602</v>
      </c>
      <c r="I47" s="2" t="s">
        <v>604</v>
      </c>
      <c r="J47" s="11">
        <v>49.0</v>
      </c>
      <c r="K47" s="8"/>
      <c r="L47" s="8"/>
      <c r="M47" s="14">
        <v>8.0</v>
      </c>
      <c r="N47" s="15">
        <v>0.3979166666666667</v>
      </c>
      <c r="O47" s="17" t="s">
        <v>552</v>
      </c>
      <c r="P47" s="15" t="s">
        <v>175</v>
      </c>
      <c r="Q47" s="15" t="s">
        <v>175</v>
      </c>
      <c r="R47" s="15" t="s">
        <v>175</v>
      </c>
      <c r="S47" s="18">
        <v>0.4847222222222222</v>
      </c>
      <c r="T47" s="20" t="s">
        <v>607</v>
      </c>
      <c r="U47" s="2" t="s">
        <v>287</v>
      </c>
      <c r="V47" s="2" t="s">
        <v>175</v>
      </c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>
      <c r="A48" s="8">
        <v>2016.0</v>
      </c>
      <c r="B48" s="8" t="s">
        <v>147</v>
      </c>
      <c r="C48" s="8">
        <v>12.0</v>
      </c>
      <c r="D48" s="2" t="s">
        <v>588</v>
      </c>
      <c r="E48" s="2"/>
      <c r="F48" s="8">
        <v>278.0</v>
      </c>
      <c r="G48" s="2" t="s">
        <v>154</v>
      </c>
      <c r="H48" s="2" t="s">
        <v>610</v>
      </c>
      <c r="I48" s="2" t="s">
        <v>611</v>
      </c>
      <c r="J48" s="11">
        <v>53.0</v>
      </c>
      <c r="K48" s="8"/>
      <c r="L48" s="8"/>
      <c r="M48" s="14">
        <v>9.0</v>
      </c>
      <c r="N48" s="15">
        <v>0.40069444444444446</v>
      </c>
      <c r="O48" s="17" t="s">
        <v>556</v>
      </c>
      <c r="P48" s="15" t="s">
        <v>175</v>
      </c>
      <c r="Q48" s="15" t="s">
        <v>175</v>
      </c>
      <c r="R48" s="15" t="s">
        <v>175</v>
      </c>
      <c r="S48" s="18">
        <v>0.4861111111111111</v>
      </c>
      <c r="T48" s="20" t="s">
        <v>614</v>
      </c>
      <c r="U48" s="2" t="s">
        <v>309</v>
      </c>
      <c r="V48" s="2" t="s">
        <v>175</v>
      </c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>
      <c r="A49" s="8">
        <v>2016.0</v>
      </c>
      <c r="B49" s="8" t="s">
        <v>147</v>
      </c>
      <c r="C49" s="8">
        <v>12.0</v>
      </c>
      <c r="D49" s="2" t="s">
        <v>588</v>
      </c>
      <c r="E49" s="2"/>
      <c r="F49" s="8">
        <v>279.0</v>
      </c>
      <c r="G49" s="2" t="s">
        <v>154</v>
      </c>
      <c r="H49" s="2" t="s">
        <v>616</v>
      </c>
      <c r="I49" s="2" t="s">
        <v>617</v>
      </c>
      <c r="J49" s="11">
        <v>56.0</v>
      </c>
      <c r="K49" s="8"/>
      <c r="L49" s="8"/>
      <c r="M49" s="14">
        <v>10.0</v>
      </c>
      <c r="N49" s="15">
        <v>0.40347222222222223</v>
      </c>
      <c r="O49" s="17" t="s">
        <v>621</v>
      </c>
      <c r="P49" s="15" t="s">
        <v>175</v>
      </c>
      <c r="Q49" s="15" t="s">
        <v>175</v>
      </c>
      <c r="R49" s="15" t="s">
        <v>175</v>
      </c>
      <c r="S49" s="18">
        <v>0.4909722222222222</v>
      </c>
      <c r="T49" s="20" t="s">
        <v>622</v>
      </c>
      <c r="U49" s="2" t="s">
        <v>267</v>
      </c>
      <c r="V49" s="2" t="s">
        <v>623</v>
      </c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>
      <c r="A50" s="8">
        <v>2016.0</v>
      </c>
      <c r="B50" s="8" t="s">
        <v>147</v>
      </c>
      <c r="C50" s="8">
        <v>12.0</v>
      </c>
      <c r="D50" s="2" t="s">
        <v>625</v>
      </c>
      <c r="E50" s="2"/>
      <c r="F50" s="8">
        <v>281.0</v>
      </c>
      <c r="G50" s="2" t="s">
        <v>154</v>
      </c>
      <c r="H50" s="2" t="s">
        <v>626</v>
      </c>
      <c r="I50" s="2" t="s">
        <v>627</v>
      </c>
      <c r="J50" s="11">
        <v>40.0</v>
      </c>
      <c r="K50" s="8"/>
      <c r="L50" s="8"/>
      <c r="M50" s="14">
        <v>1.0</v>
      </c>
      <c r="N50" s="15">
        <v>0.5638888888888889</v>
      </c>
      <c r="O50" s="17" t="s">
        <v>499</v>
      </c>
      <c r="P50" s="15" t="s">
        <v>175</v>
      </c>
      <c r="Q50" s="15" t="s">
        <v>175</v>
      </c>
      <c r="R50" s="15" t="s">
        <v>175</v>
      </c>
      <c r="S50" s="18">
        <v>0.6493055555555556</v>
      </c>
      <c r="T50" s="20" t="s">
        <v>630</v>
      </c>
      <c r="U50" s="2" t="s">
        <v>309</v>
      </c>
      <c r="V50" s="2" t="s">
        <v>175</v>
      </c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>
      <c r="A51" s="8">
        <v>2016.0</v>
      </c>
      <c r="B51" s="8" t="s">
        <v>147</v>
      </c>
      <c r="C51" s="8">
        <v>12.0</v>
      </c>
      <c r="D51" s="2" t="s">
        <v>631</v>
      </c>
      <c r="E51" s="2"/>
      <c r="F51" s="8">
        <v>281.0</v>
      </c>
      <c r="G51" s="2" t="s">
        <v>154</v>
      </c>
      <c r="H51" s="2" t="s">
        <v>632</v>
      </c>
      <c r="I51" s="2" t="s">
        <v>633</v>
      </c>
      <c r="J51" s="11">
        <v>44.0</v>
      </c>
      <c r="K51" s="8"/>
      <c r="L51" s="8"/>
      <c r="M51" s="14">
        <v>2.0</v>
      </c>
      <c r="N51" s="15">
        <v>0.5666666666666667</v>
      </c>
      <c r="O51" s="17" t="s">
        <v>634</v>
      </c>
      <c r="P51" s="15" t="s">
        <v>175</v>
      </c>
      <c r="Q51" s="15" t="s">
        <v>175</v>
      </c>
      <c r="R51" s="15" t="s">
        <v>175</v>
      </c>
      <c r="S51" s="18">
        <v>0.6520833333333333</v>
      </c>
      <c r="T51" s="20" t="s">
        <v>635</v>
      </c>
      <c r="U51" s="2" t="s">
        <v>309</v>
      </c>
      <c r="V51" s="2" t="s">
        <v>175</v>
      </c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>
      <c r="A52" s="8">
        <v>2016.0</v>
      </c>
      <c r="B52" s="8" t="s">
        <v>147</v>
      </c>
      <c r="C52" s="8">
        <v>12.0</v>
      </c>
      <c r="D52" s="2" t="s">
        <v>631</v>
      </c>
      <c r="E52" s="2"/>
      <c r="F52" s="8">
        <v>283.0</v>
      </c>
      <c r="G52" s="2" t="s">
        <v>154</v>
      </c>
      <c r="H52" s="2" t="s">
        <v>637</v>
      </c>
      <c r="I52" s="2" t="s">
        <v>640</v>
      </c>
      <c r="J52" s="11">
        <v>45.0</v>
      </c>
      <c r="K52" s="8"/>
      <c r="L52" s="8"/>
      <c r="M52" s="14">
        <v>3.0</v>
      </c>
      <c r="N52" s="15">
        <v>0.5708333333333333</v>
      </c>
      <c r="O52" s="17" t="s">
        <v>641</v>
      </c>
      <c r="P52" s="15" t="s">
        <v>175</v>
      </c>
      <c r="Q52" s="15" t="s">
        <v>175</v>
      </c>
      <c r="R52" s="15" t="s">
        <v>175</v>
      </c>
      <c r="S52" s="18">
        <v>0.6541666666666667</v>
      </c>
      <c r="T52" s="20" t="s">
        <v>642</v>
      </c>
      <c r="U52" s="2" t="s">
        <v>309</v>
      </c>
      <c r="V52" s="2" t="s">
        <v>175</v>
      </c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>
      <c r="A53" s="8">
        <v>2016.0</v>
      </c>
      <c r="B53" s="8" t="s">
        <v>147</v>
      </c>
      <c r="C53" s="8">
        <v>12.0</v>
      </c>
      <c r="D53" s="2" t="s">
        <v>631</v>
      </c>
      <c r="E53" s="2"/>
      <c r="F53" s="8">
        <v>285.0</v>
      </c>
      <c r="G53" s="2" t="s">
        <v>154</v>
      </c>
      <c r="H53" s="2" t="s">
        <v>644</v>
      </c>
      <c r="I53" s="2" t="s">
        <v>645</v>
      </c>
      <c r="J53" s="11">
        <v>50.4</v>
      </c>
      <c r="K53" s="8"/>
      <c r="L53" s="8"/>
      <c r="M53" s="14">
        <v>4.0</v>
      </c>
      <c r="N53" s="15">
        <v>0.5729166666666666</v>
      </c>
      <c r="O53" s="17" t="s">
        <v>646</v>
      </c>
      <c r="P53" s="15" t="s">
        <v>175</v>
      </c>
      <c r="Q53" s="15" t="s">
        <v>175</v>
      </c>
      <c r="R53" s="15" t="s">
        <v>175</v>
      </c>
      <c r="S53" s="18">
        <v>0.65625</v>
      </c>
      <c r="T53" s="20" t="s">
        <v>647</v>
      </c>
      <c r="U53" s="2" t="s">
        <v>309</v>
      </c>
      <c r="V53" s="2" t="s">
        <v>175</v>
      </c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>
      <c r="A54" s="8">
        <v>2016.0</v>
      </c>
      <c r="B54" s="8" t="s">
        <v>147</v>
      </c>
      <c r="C54" s="8">
        <v>12.0</v>
      </c>
      <c r="D54" s="2" t="s">
        <v>631</v>
      </c>
      <c r="E54" s="2"/>
      <c r="F54" s="8">
        <v>288.0</v>
      </c>
      <c r="G54" s="2" t="s">
        <v>558</v>
      </c>
      <c r="H54" s="2" t="s">
        <v>651</v>
      </c>
      <c r="I54" s="2" t="s">
        <v>653</v>
      </c>
      <c r="J54" s="11">
        <v>55.5</v>
      </c>
      <c r="K54" s="8"/>
      <c r="L54" s="8"/>
      <c r="M54" s="14">
        <v>5.0</v>
      </c>
      <c r="N54" s="15">
        <v>0.576388888888889</v>
      </c>
      <c r="O54" s="17" t="s">
        <v>654</v>
      </c>
      <c r="P54" s="15" t="s">
        <v>175</v>
      </c>
      <c r="Q54" s="15" t="s">
        <v>175</v>
      </c>
      <c r="R54" s="15" t="s">
        <v>175</v>
      </c>
      <c r="S54" s="18">
        <v>0.6576388888888889</v>
      </c>
      <c r="T54" s="20" t="s">
        <v>655</v>
      </c>
      <c r="U54" s="2" t="s">
        <v>309</v>
      </c>
      <c r="V54" s="2" t="s">
        <v>175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>
      <c r="A55" s="8">
        <v>2016.0</v>
      </c>
      <c r="B55" s="8" t="s">
        <v>147</v>
      </c>
      <c r="C55" s="8">
        <v>12.0</v>
      </c>
      <c r="D55" s="2" t="s">
        <v>631</v>
      </c>
      <c r="E55" s="2"/>
      <c r="F55" s="8">
        <v>289.0</v>
      </c>
      <c r="G55" s="2" t="s">
        <v>558</v>
      </c>
      <c r="H55" s="2" t="s">
        <v>657</v>
      </c>
      <c r="I55" s="2" t="s">
        <v>658</v>
      </c>
      <c r="J55" s="11">
        <v>53.3</v>
      </c>
      <c r="K55" s="8"/>
      <c r="L55" s="8"/>
      <c r="M55" s="14">
        <v>6.0</v>
      </c>
      <c r="N55" s="15">
        <v>0.5784722222222222</v>
      </c>
      <c r="O55" s="17" t="s">
        <v>659</v>
      </c>
      <c r="P55" s="15" t="s">
        <v>175</v>
      </c>
      <c r="Q55" s="15" t="s">
        <v>175</v>
      </c>
      <c r="R55" s="15" t="s">
        <v>175</v>
      </c>
      <c r="S55" s="18">
        <v>0.6597222222222222</v>
      </c>
      <c r="T55" s="20" t="s">
        <v>286</v>
      </c>
      <c r="U55" s="2" t="s">
        <v>309</v>
      </c>
      <c r="V55" s="2" t="s">
        <v>175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>
      <c r="A56" s="8">
        <v>2016.0</v>
      </c>
      <c r="B56" s="8" t="s">
        <v>147</v>
      </c>
      <c r="C56" s="8">
        <v>12.0</v>
      </c>
      <c r="D56" s="2" t="s">
        <v>631</v>
      </c>
      <c r="E56" s="2"/>
      <c r="F56" s="8">
        <v>290.0</v>
      </c>
      <c r="G56" s="2" t="s">
        <v>154</v>
      </c>
      <c r="H56" s="2" t="s">
        <v>660</v>
      </c>
      <c r="I56" s="2" t="s">
        <v>661</v>
      </c>
      <c r="J56" s="11">
        <v>54.0</v>
      </c>
      <c r="K56" s="8"/>
      <c r="L56" s="8"/>
      <c r="M56" s="14">
        <v>7.0</v>
      </c>
      <c r="N56" s="15">
        <v>0.5812499999999999</v>
      </c>
      <c r="O56" s="17" t="s">
        <v>664</v>
      </c>
      <c r="P56" s="15" t="s">
        <v>175</v>
      </c>
      <c r="Q56" s="15" t="s">
        <v>175</v>
      </c>
      <c r="R56" s="15" t="s">
        <v>175</v>
      </c>
      <c r="S56" s="18">
        <v>0.6618055555555555</v>
      </c>
      <c r="T56" s="20" t="s">
        <v>667</v>
      </c>
      <c r="U56" s="2" t="s">
        <v>309</v>
      </c>
      <c r="V56" s="2" t="s">
        <v>175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>
      <c r="A57" s="8">
        <v>2016.0</v>
      </c>
      <c r="B57" s="8" t="s">
        <v>147</v>
      </c>
      <c r="C57" s="8">
        <v>12.0</v>
      </c>
      <c r="D57" s="2" t="s">
        <v>492</v>
      </c>
      <c r="E57" s="2"/>
      <c r="F57" s="8">
        <v>291.0</v>
      </c>
      <c r="G57" s="2" t="s">
        <v>154</v>
      </c>
      <c r="H57" s="2" t="s">
        <v>669</v>
      </c>
      <c r="I57" s="2" t="s">
        <v>671</v>
      </c>
      <c r="J57" s="11">
        <v>63.0</v>
      </c>
      <c r="K57" s="8"/>
      <c r="L57" s="8"/>
      <c r="M57" s="14">
        <v>8.0</v>
      </c>
      <c r="N57" s="15">
        <v>0.5833333333333334</v>
      </c>
      <c r="O57" s="17" t="s">
        <v>673</v>
      </c>
      <c r="P57" s="15" t="s">
        <v>175</v>
      </c>
      <c r="Q57" s="15" t="s">
        <v>175</v>
      </c>
      <c r="R57" s="15" t="s">
        <v>175</v>
      </c>
      <c r="S57" s="18">
        <v>0.6597222222222222</v>
      </c>
      <c r="T57" s="20" t="s">
        <v>286</v>
      </c>
      <c r="U57" s="2" t="s">
        <v>267</v>
      </c>
      <c r="V57" s="2" t="s">
        <v>175</v>
      </c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>
      <c r="A58" s="8">
        <v>2016.0</v>
      </c>
      <c r="B58" s="8" t="s">
        <v>147</v>
      </c>
      <c r="C58" s="8">
        <v>12.0</v>
      </c>
      <c r="D58" s="2" t="s">
        <v>492</v>
      </c>
      <c r="E58" s="2"/>
      <c r="F58" s="8">
        <v>292.0</v>
      </c>
      <c r="G58" s="2" t="s">
        <v>154</v>
      </c>
      <c r="H58" s="2" t="s">
        <v>674</v>
      </c>
      <c r="I58" s="2" t="s">
        <v>675</v>
      </c>
      <c r="J58" s="11">
        <v>68.0</v>
      </c>
      <c r="K58" s="8"/>
      <c r="L58" s="8"/>
      <c r="M58" s="14">
        <v>9.0</v>
      </c>
      <c r="N58" s="15">
        <v>0.5854166666666667</v>
      </c>
      <c r="O58" s="17" t="s">
        <v>676</v>
      </c>
      <c r="P58" s="15" t="s">
        <v>175</v>
      </c>
      <c r="Q58" s="15" t="s">
        <v>175</v>
      </c>
      <c r="R58" s="15" t="s">
        <v>175</v>
      </c>
      <c r="S58" s="18">
        <v>0.6666666666666666</v>
      </c>
      <c r="T58" s="20" t="s">
        <v>679</v>
      </c>
      <c r="U58" s="2" t="s">
        <v>287</v>
      </c>
      <c r="V58" s="2" t="s">
        <v>175</v>
      </c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>
      <c r="A59" s="8">
        <v>2016.0</v>
      </c>
      <c r="B59" s="8" t="s">
        <v>147</v>
      </c>
      <c r="C59" s="8">
        <v>12.0</v>
      </c>
      <c r="D59" s="2" t="s">
        <v>511</v>
      </c>
      <c r="E59" s="2"/>
      <c r="F59" s="8">
        <v>293.0</v>
      </c>
      <c r="G59" s="2" t="s">
        <v>154</v>
      </c>
      <c r="H59" s="2" t="s">
        <v>680</v>
      </c>
      <c r="I59" s="2" t="s">
        <v>681</v>
      </c>
      <c r="J59" s="11">
        <v>70.6</v>
      </c>
      <c r="K59" s="8"/>
      <c r="L59" s="8"/>
      <c r="M59" s="14">
        <v>10.0</v>
      </c>
      <c r="N59" s="15">
        <v>0.5881944444444445</v>
      </c>
      <c r="O59" s="17" t="s">
        <v>682</v>
      </c>
      <c r="P59" s="15" t="s">
        <v>175</v>
      </c>
      <c r="Q59" s="15" t="s">
        <v>175</v>
      </c>
      <c r="R59" s="15" t="s">
        <v>175</v>
      </c>
      <c r="S59" s="18">
        <v>0.6680555555555556</v>
      </c>
      <c r="T59" s="20" t="s">
        <v>683</v>
      </c>
      <c r="U59" s="2" t="s">
        <v>267</v>
      </c>
      <c r="V59" s="2" t="s">
        <v>175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>
      <c r="A60" s="8">
        <v>2016.0</v>
      </c>
      <c r="B60" s="8" t="s">
        <v>147</v>
      </c>
      <c r="C60" s="8">
        <v>13.0</v>
      </c>
      <c r="D60" s="2" t="s">
        <v>684</v>
      </c>
      <c r="E60" s="2"/>
      <c r="F60" s="8">
        <v>294.0</v>
      </c>
      <c r="G60" s="2" t="s">
        <v>154</v>
      </c>
      <c r="H60" s="2" t="s">
        <v>649</v>
      </c>
      <c r="I60" s="2" t="s">
        <v>685</v>
      </c>
      <c r="J60" s="11">
        <v>38.2</v>
      </c>
      <c r="K60" s="8"/>
      <c r="L60" s="8"/>
      <c r="M60" s="14">
        <v>1.0</v>
      </c>
      <c r="N60" s="15">
        <v>0.38125000000000003</v>
      </c>
      <c r="O60" s="17" t="s">
        <v>686</v>
      </c>
      <c r="P60" s="15">
        <v>0.44375000000000003</v>
      </c>
      <c r="Q60" s="15">
        <v>0.5069444444444444</v>
      </c>
      <c r="R60" s="15">
        <v>0.5930555555555556</v>
      </c>
      <c r="S60" s="18">
        <v>0.6541666666666667</v>
      </c>
      <c r="T60" s="20" t="s">
        <v>642</v>
      </c>
      <c r="U60" s="2" t="s">
        <v>509</v>
      </c>
      <c r="V60" s="2" t="s">
        <v>175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>
      <c r="A61" s="8">
        <v>2016.0</v>
      </c>
      <c r="B61" s="8" t="s">
        <v>147</v>
      </c>
      <c r="C61" s="8">
        <v>13.0</v>
      </c>
      <c r="D61" s="2" t="s">
        <v>684</v>
      </c>
      <c r="E61" s="2"/>
      <c r="F61" s="8">
        <v>295.0</v>
      </c>
      <c r="G61" s="2" t="s">
        <v>154</v>
      </c>
      <c r="H61" s="2" t="s">
        <v>690</v>
      </c>
      <c r="I61" s="2" t="s">
        <v>691</v>
      </c>
      <c r="J61" s="11">
        <v>40.5</v>
      </c>
      <c r="K61" s="8"/>
      <c r="L61" s="8"/>
      <c r="M61" s="14">
        <v>2.0</v>
      </c>
      <c r="N61" s="15">
        <v>0.3840277777777778</v>
      </c>
      <c r="O61" s="17" t="s">
        <v>585</v>
      </c>
      <c r="P61" s="15">
        <v>0.4451388888888889</v>
      </c>
      <c r="Q61" s="15">
        <v>0.5104166666666666</v>
      </c>
      <c r="R61" s="15">
        <v>0.5944444444444444</v>
      </c>
      <c r="S61" s="18">
        <v>0.6555555555555556</v>
      </c>
      <c r="T61" s="20" t="s">
        <v>692</v>
      </c>
      <c r="U61" s="2" t="s">
        <v>309</v>
      </c>
      <c r="V61" s="2" t="s">
        <v>175</v>
      </c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>
      <c r="A62" s="8">
        <v>2016.0</v>
      </c>
      <c r="B62" s="8" t="s">
        <v>147</v>
      </c>
      <c r="C62" s="8">
        <v>13.0</v>
      </c>
      <c r="D62" s="2" t="s">
        <v>684</v>
      </c>
      <c r="E62" s="2"/>
      <c r="F62" s="8">
        <v>296.0</v>
      </c>
      <c r="G62" s="2" t="s">
        <v>154</v>
      </c>
      <c r="H62" s="2" t="s">
        <v>695</v>
      </c>
      <c r="I62" s="2" t="s">
        <v>696</v>
      </c>
      <c r="J62" s="11">
        <v>47.7</v>
      </c>
      <c r="K62" s="8"/>
      <c r="L62" s="8"/>
      <c r="M62" s="14">
        <v>3.0</v>
      </c>
      <c r="N62" s="15">
        <v>0.38680555555555557</v>
      </c>
      <c r="O62" s="17" t="s">
        <v>591</v>
      </c>
      <c r="P62" s="15">
        <v>0.4479166666666667</v>
      </c>
      <c r="Q62" s="15">
        <v>0.5125000000000001</v>
      </c>
      <c r="R62" s="15">
        <v>0.5958333333333333</v>
      </c>
      <c r="S62" s="18">
        <v>0.6569444444444444</v>
      </c>
      <c r="T62" s="20" t="s">
        <v>698</v>
      </c>
      <c r="U62" s="2" t="s">
        <v>309</v>
      </c>
      <c r="V62" s="2" t="s">
        <v>175</v>
      </c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>
      <c r="A63" s="8">
        <v>2016.0</v>
      </c>
      <c r="B63" s="8" t="s">
        <v>147</v>
      </c>
      <c r="C63" s="8">
        <v>13.0</v>
      </c>
      <c r="D63" s="2" t="s">
        <v>702</v>
      </c>
      <c r="E63" s="2"/>
      <c r="F63" s="8">
        <v>297.0</v>
      </c>
      <c r="G63" s="2" t="s">
        <v>154</v>
      </c>
      <c r="H63" s="2" t="s">
        <v>703</v>
      </c>
      <c r="I63" s="2" t="s">
        <v>704</v>
      </c>
      <c r="J63" s="11">
        <v>41.8</v>
      </c>
      <c r="K63" s="8"/>
      <c r="L63" s="8"/>
      <c r="M63" s="14">
        <v>4.0</v>
      </c>
      <c r="N63" s="15">
        <v>0.38958333333333334</v>
      </c>
      <c r="O63" s="17" t="s">
        <v>536</v>
      </c>
      <c r="P63" s="15">
        <v>0.45</v>
      </c>
      <c r="Q63" s="15">
        <v>0.513888888888889</v>
      </c>
      <c r="R63" s="15">
        <v>0.5979166666666667</v>
      </c>
      <c r="S63" s="18">
        <v>0.6527777777777778</v>
      </c>
      <c r="T63" s="20" t="s">
        <v>706</v>
      </c>
      <c r="U63" s="2" t="s">
        <v>309</v>
      </c>
      <c r="V63" s="2" t="s">
        <v>175</v>
      </c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>
      <c r="A64" s="8">
        <v>2016.0</v>
      </c>
      <c r="B64" s="8" t="s">
        <v>147</v>
      </c>
      <c r="C64" s="8">
        <v>13.0</v>
      </c>
      <c r="D64" s="2" t="s">
        <v>702</v>
      </c>
      <c r="E64" s="2"/>
      <c r="F64" s="8">
        <v>298.0</v>
      </c>
      <c r="G64" s="2" t="s">
        <v>558</v>
      </c>
      <c r="H64" s="2" t="s">
        <v>710</v>
      </c>
      <c r="I64" s="2" t="s">
        <v>711</v>
      </c>
      <c r="J64" s="11">
        <v>39.3</v>
      </c>
      <c r="K64" s="8"/>
      <c r="L64" s="8"/>
      <c r="M64" s="14">
        <v>5.0</v>
      </c>
      <c r="N64" s="15">
        <v>0.3923611111111111</v>
      </c>
      <c r="O64" s="17" t="s">
        <v>540</v>
      </c>
      <c r="P64" s="44">
        <v>0.4513888888888889</v>
      </c>
      <c r="Q64" s="44">
        <v>0.5159722222222222</v>
      </c>
      <c r="R64" s="44">
        <v>0.5993055555555555</v>
      </c>
      <c r="S64" s="45">
        <v>0.6611111111111111</v>
      </c>
      <c r="T64" s="20" t="s">
        <v>714</v>
      </c>
      <c r="U64" s="2" t="s">
        <v>367</v>
      </c>
      <c r="V64" s="2" t="s">
        <v>175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>
      <c r="A65" s="8">
        <v>2016.0</v>
      </c>
      <c r="B65" s="8" t="s">
        <v>147</v>
      </c>
      <c r="C65" s="8">
        <v>13.0</v>
      </c>
      <c r="D65" s="2" t="s">
        <v>244</v>
      </c>
      <c r="E65" s="2"/>
      <c r="F65" s="8">
        <v>299.0</v>
      </c>
      <c r="G65" s="2" t="s">
        <v>558</v>
      </c>
      <c r="H65" s="2" t="s">
        <v>715</v>
      </c>
      <c r="I65" s="2" t="s">
        <v>716</v>
      </c>
      <c r="J65" s="11">
        <v>41.1</v>
      </c>
      <c r="K65" s="8"/>
      <c r="L65" s="8"/>
      <c r="M65" s="14">
        <v>6.0</v>
      </c>
      <c r="N65" s="15">
        <v>0.39375</v>
      </c>
      <c r="O65" s="17" t="s">
        <v>718</v>
      </c>
      <c r="P65" s="15">
        <v>0.45416666666666666</v>
      </c>
      <c r="Q65" s="15">
        <v>0.517361111111111</v>
      </c>
      <c r="R65" s="15">
        <v>0.6013888888888889</v>
      </c>
      <c r="S65" s="18">
        <v>0.6631944444444444</v>
      </c>
      <c r="T65" s="20" t="s">
        <v>719</v>
      </c>
      <c r="U65" s="2" t="s">
        <v>287</v>
      </c>
      <c r="V65" s="2" t="s">
        <v>175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>
      <c r="A66" s="8">
        <v>2016.0</v>
      </c>
      <c r="B66" s="8" t="s">
        <v>147</v>
      </c>
      <c r="C66" s="8">
        <v>13.0</v>
      </c>
      <c r="D66" s="2" t="s">
        <v>244</v>
      </c>
      <c r="E66" s="2"/>
      <c r="F66" s="8">
        <v>300.0</v>
      </c>
      <c r="G66" s="2" t="s">
        <v>154</v>
      </c>
      <c r="H66" s="2" t="s">
        <v>720</v>
      </c>
      <c r="I66" s="2" t="s">
        <v>721</v>
      </c>
      <c r="J66" s="11">
        <v>76.0</v>
      </c>
      <c r="K66" s="8"/>
      <c r="L66" s="8"/>
      <c r="M66" s="14">
        <v>7.0</v>
      </c>
      <c r="N66" s="15">
        <v>0.3972222222222222</v>
      </c>
      <c r="O66" s="17" t="s">
        <v>722</v>
      </c>
      <c r="P66" s="15">
        <v>0.4576388888888889</v>
      </c>
      <c r="Q66" s="15">
        <v>0.5208333333333334</v>
      </c>
      <c r="R66" s="15">
        <v>0.6055555555555555</v>
      </c>
      <c r="S66" s="18">
        <v>0.6659722222222222</v>
      </c>
      <c r="T66" s="20" t="s">
        <v>723</v>
      </c>
      <c r="U66" s="2" t="s">
        <v>724</v>
      </c>
      <c r="V66" s="2" t="s">
        <v>175</v>
      </c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>
      <c r="A67" s="8">
        <v>2016.0</v>
      </c>
      <c r="B67" s="8" t="s">
        <v>147</v>
      </c>
      <c r="C67" s="8">
        <v>13.0</v>
      </c>
      <c r="D67" s="2" t="s">
        <v>150</v>
      </c>
      <c r="E67" s="2"/>
      <c r="F67" s="8">
        <v>301.0</v>
      </c>
      <c r="G67" s="2" t="s">
        <v>154</v>
      </c>
      <c r="H67" s="2" t="s">
        <v>726</v>
      </c>
      <c r="I67" s="2" t="s">
        <v>728</v>
      </c>
      <c r="J67" s="11">
        <v>72.5</v>
      </c>
      <c r="K67" s="8"/>
      <c r="L67" s="8"/>
      <c r="M67" s="14">
        <v>8.0</v>
      </c>
      <c r="N67" s="15">
        <v>0.3993055555555556</v>
      </c>
      <c r="O67" s="17" t="s">
        <v>729</v>
      </c>
      <c r="P67" s="15">
        <v>0.4590277777777778</v>
      </c>
      <c r="Q67" s="15">
        <v>0.5243055555555556</v>
      </c>
      <c r="R67" s="15">
        <v>0.6090277777777778</v>
      </c>
      <c r="S67" s="18">
        <v>0.6277777777777778</v>
      </c>
      <c r="T67" s="20" t="s">
        <v>730</v>
      </c>
      <c r="U67" s="2" t="s">
        <v>309</v>
      </c>
      <c r="V67" s="2" t="s">
        <v>175</v>
      </c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>
      <c r="A68" s="8">
        <v>2016.0</v>
      </c>
      <c r="B68" s="8" t="s">
        <v>147</v>
      </c>
      <c r="C68" s="8">
        <v>13.0</v>
      </c>
      <c r="D68" s="2" t="s">
        <v>150</v>
      </c>
      <c r="E68" s="2"/>
      <c r="F68" s="8">
        <v>302.0</v>
      </c>
      <c r="G68" s="2" t="s">
        <v>154</v>
      </c>
      <c r="H68" s="2" t="s">
        <v>537</v>
      </c>
      <c r="I68" s="2" t="s">
        <v>734</v>
      </c>
      <c r="J68" s="11">
        <v>97.6</v>
      </c>
      <c r="K68" s="8"/>
      <c r="L68" s="8"/>
      <c r="M68" s="14">
        <v>9.0</v>
      </c>
      <c r="N68" s="15">
        <v>0.40208333333333335</v>
      </c>
      <c r="O68" s="17" t="s">
        <v>736</v>
      </c>
      <c r="P68" s="15">
        <v>0.4604166666666667</v>
      </c>
      <c r="Q68" s="15">
        <v>0.5256944444444445</v>
      </c>
      <c r="R68" s="15">
        <v>0.611111111111111</v>
      </c>
      <c r="S68" s="18">
        <v>0.6298611111111111</v>
      </c>
      <c r="T68" s="20" t="s">
        <v>737</v>
      </c>
      <c r="U68" s="2" t="s">
        <v>367</v>
      </c>
      <c r="V68" s="2" t="s">
        <v>175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>
      <c r="A69" s="8">
        <v>2016.0</v>
      </c>
      <c r="B69" s="8" t="s">
        <v>147</v>
      </c>
      <c r="C69" s="8">
        <v>13.0</v>
      </c>
      <c r="D69" s="2" t="s">
        <v>150</v>
      </c>
      <c r="E69" s="2"/>
      <c r="F69" s="8">
        <v>303.0</v>
      </c>
      <c r="G69" s="2" t="s">
        <v>154</v>
      </c>
      <c r="H69" s="2" t="s">
        <v>739</v>
      </c>
      <c r="I69" s="2" t="s">
        <v>741</v>
      </c>
      <c r="J69" s="11">
        <v>92.9</v>
      </c>
      <c r="K69" s="8"/>
      <c r="L69" s="8"/>
      <c r="M69" s="14">
        <v>10.0</v>
      </c>
      <c r="N69" s="15">
        <v>0.4041666666666666</v>
      </c>
      <c r="O69" s="17" t="s">
        <v>743</v>
      </c>
      <c r="P69" s="15">
        <v>0.46249999999999997</v>
      </c>
      <c r="Q69" s="15">
        <v>0.5270833333333333</v>
      </c>
      <c r="R69" s="15">
        <v>0.6131944444444445</v>
      </c>
      <c r="S69" s="18">
        <v>0.6340277777777777</v>
      </c>
      <c r="T69" s="20" t="s">
        <v>744</v>
      </c>
      <c r="U69" s="2" t="s">
        <v>309</v>
      </c>
      <c r="V69" s="2" t="s">
        <v>175</v>
      </c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>
      <c r="A70" s="8">
        <v>2016.0</v>
      </c>
      <c r="B70" s="8" t="s">
        <v>147</v>
      </c>
      <c r="C70" s="8">
        <v>16.0</v>
      </c>
      <c r="D70" s="2" t="s">
        <v>745</v>
      </c>
      <c r="E70" s="2"/>
      <c r="F70" s="8">
        <v>70.0</v>
      </c>
      <c r="G70" s="2" t="s">
        <v>154</v>
      </c>
      <c r="H70" s="2" t="s">
        <v>747</v>
      </c>
      <c r="I70" s="2" t="s">
        <v>748</v>
      </c>
      <c r="J70" s="11">
        <v>62.5</v>
      </c>
      <c r="K70" s="8"/>
      <c r="L70" s="8"/>
      <c r="M70" s="14">
        <v>1.0</v>
      </c>
      <c r="N70" s="15">
        <v>0.4236111111111111</v>
      </c>
      <c r="O70" s="17" t="s">
        <v>749</v>
      </c>
      <c r="P70" s="15">
        <v>0.49652777777777773</v>
      </c>
      <c r="Q70" s="15">
        <v>0.5625</v>
      </c>
      <c r="R70" s="15" t="s">
        <v>175</v>
      </c>
      <c r="S70" s="18">
        <v>0.6465277777777778</v>
      </c>
      <c r="T70" s="20" t="s">
        <v>750</v>
      </c>
      <c r="U70" s="2" t="s">
        <v>751</v>
      </c>
      <c r="V70" s="2" t="s">
        <v>175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>
      <c r="A71" s="8">
        <v>2016.0</v>
      </c>
      <c r="B71" s="8" t="s">
        <v>147</v>
      </c>
      <c r="C71" s="8">
        <v>16.0</v>
      </c>
      <c r="D71" s="2" t="s">
        <v>752</v>
      </c>
      <c r="E71" s="2"/>
      <c r="F71" s="8">
        <v>71.0</v>
      </c>
      <c r="G71" s="2" t="s">
        <v>154</v>
      </c>
      <c r="H71" s="2" t="s">
        <v>754</v>
      </c>
      <c r="I71" s="2" t="s">
        <v>755</v>
      </c>
      <c r="J71" s="11">
        <v>59.1</v>
      </c>
      <c r="K71" s="8"/>
      <c r="L71" s="8"/>
      <c r="M71" s="14">
        <v>2.0</v>
      </c>
      <c r="N71" s="15">
        <v>0.4270833333333333</v>
      </c>
      <c r="O71" s="17" t="s">
        <v>756</v>
      </c>
      <c r="P71" s="15">
        <v>0.4986111111111111</v>
      </c>
      <c r="Q71" s="15">
        <v>0.5652777777777778</v>
      </c>
      <c r="R71" s="15" t="s">
        <v>175</v>
      </c>
      <c r="S71" s="18">
        <v>0.6486111111111111</v>
      </c>
      <c r="T71" s="20" t="s">
        <v>757</v>
      </c>
      <c r="U71" s="2" t="s">
        <v>309</v>
      </c>
      <c r="V71" s="2" t="s">
        <v>758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>
      <c r="A72" s="8">
        <v>2016.0</v>
      </c>
      <c r="B72" s="8" t="s">
        <v>147</v>
      </c>
      <c r="C72" s="8">
        <v>16.0</v>
      </c>
      <c r="D72" s="2" t="s">
        <v>759</v>
      </c>
      <c r="E72" s="2"/>
      <c r="F72" s="8">
        <v>73.0</v>
      </c>
      <c r="G72" s="2" t="s">
        <v>154</v>
      </c>
      <c r="H72" s="2" t="s">
        <v>761</v>
      </c>
      <c r="I72" s="2" t="s">
        <v>762</v>
      </c>
      <c r="J72" s="11">
        <v>60.6</v>
      </c>
      <c r="K72" s="8"/>
      <c r="L72" s="8"/>
      <c r="M72" s="14">
        <v>3.0</v>
      </c>
      <c r="N72" s="15">
        <v>0.43402777777777773</v>
      </c>
      <c r="O72" s="17" t="s">
        <v>247</v>
      </c>
      <c r="P72" s="15">
        <v>0.5006944444444444</v>
      </c>
      <c r="Q72" s="15">
        <v>0.5666666666666667</v>
      </c>
      <c r="R72" s="15" t="s">
        <v>175</v>
      </c>
      <c r="S72" s="18">
        <v>0.15069444444444444</v>
      </c>
      <c r="T72" s="20" t="s">
        <v>763</v>
      </c>
      <c r="U72" s="2" t="s">
        <v>414</v>
      </c>
      <c r="V72" s="2" t="s">
        <v>175</v>
      </c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>
      <c r="A73" s="8">
        <v>2016.0</v>
      </c>
      <c r="B73" s="8" t="s">
        <v>147</v>
      </c>
      <c r="C73" s="8">
        <v>16.0</v>
      </c>
      <c r="D73" s="2" t="s">
        <v>765</v>
      </c>
      <c r="E73" s="2"/>
      <c r="F73" s="8">
        <v>74.0</v>
      </c>
      <c r="G73" s="2" t="s">
        <v>154</v>
      </c>
      <c r="H73" s="2" t="s">
        <v>766</v>
      </c>
      <c r="I73" s="2" t="s">
        <v>767</v>
      </c>
      <c r="J73" s="11">
        <v>56.7</v>
      </c>
      <c r="K73" s="8"/>
      <c r="L73" s="8"/>
      <c r="M73" s="14">
        <v>4.0</v>
      </c>
      <c r="N73" s="15">
        <v>0.4361111111111111</v>
      </c>
      <c r="O73" s="17" t="s">
        <v>768</v>
      </c>
      <c r="P73" s="15">
        <v>0.5055555555555555</v>
      </c>
      <c r="Q73" s="15">
        <v>0.5694444444444444</v>
      </c>
      <c r="R73" s="15" t="s">
        <v>175</v>
      </c>
      <c r="S73" s="18">
        <v>0.6527777777777778</v>
      </c>
      <c r="T73" s="20" t="s">
        <v>706</v>
      </c>
      <c r="U73" s="2" t="s">
        <v>309</v>
      </c>
      <c r="V73" s="2" t="s">
        <v>175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>
      <c r="A74" s="8">
        <v>2016.0</v>
      </c>
      <c r="B74" s="8" t="s">
        <v>147</v>
      </c>
      <c r="C74" s="8">
        <v>16.0</v>
      </c>
      <c r="D74" s="2" t="s">
        <v>770</v>
      </c>
      <c r="E74" s="2"/>
      <c r="F74" s="8">
        <v>75.0</v>
      </c>
      <c r="G74" s="2" t="s">
        <v>154</v>
      </c>
      <c r="H74" s="2" t="s">
        <v>771</v>
      </c>
      <c r="I74" s="2" t="s">
        <v>767</v>
      </c>
      <c r="J74" s="11">
        <v>57.7</v>
      </c>
      <c r="K74" s="8"/>
      <c r="L74" s="8"/>
      <c r="M74" s="14">
        <v>5.0</v>
      </c>
      <c r="N74" s="15">
        <v>0.4479166666666667</v>
      </c>
      <c r="O74" s="17" t="s">
        <v>345</v>
      </c>
      <c r="P74" s="15">
        <v>0.5076388888888889</v>
      </c>
      <c r="Q74" s="15">
        <v>0.5701388888888889</v>
      </c>
      <c r="R74" s="15" t="s">
        <v>175</v>
      </c>
      <c r="S74" s="18">
        <v>0.6548611111111111</v>
      </c>
      <c r="T74" s="20" t="s">
        <v>772</v>
      </c>
      <c r="U74" s="2" t="s">
        <v>309</v>
      </c>
      <c r="V74" s="2" t="s">
        <v>773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>
      <c r="A75" s="8">
        <v>2016.0</v>
      </c>
      <c r="B75" s="8" t="s">
        <v>147</v>
      </c>
      <c r="C75" s="8">
        <v>16.0</v>
      </c>
      <c r="D75" s="2" t="s">
        <v>774</v>
      </c>
      <c r="E75" s="2"/>
      <c r="F75" s="8">
        <v>76.0</v>
      </c>
      <c r="G75" s="2" t="s">
        <v>154</v>
      </c>
      <c r="H75" s="2" t="s">
        <v>775</v>
      </c>
      <c r="I75" s="2" t="s">
        <v>776</v>
      </c>
      <c r="J75" s="11">
        <v>76.9</v>
      </c>
      <c r="K75" s="8"/>
      <c r="L75" s="8"/>
      <c r="M75" s="14">
        <v>6.0</v>
      </c>
      <c r="N75" s="15">
        <v>0.45069444444444445</v>
      </c>
      <c r="O75" s="17" t="s">
        <v>779</v>
      </c>
      <c r="P75" s="15">
        <v>0.5097222222222222</v>
      </c>
      <c r="Q75" s="15">
        <v>0.5833333333333334</v>
      </c>
      <c r="R75" s="15" t="s">
        <v>175</v>
      </c>
      <c r="S75" s="18">
        <v>0.6569444444444444</v>
      </c>
      <c r="T75" s="20" t="s">
        <v>698</v>
      </c>
      <c r="U75" s="2" t="s">
        <v>367</v>
      </c>
      <c r="V75" s="2" t="s">
        <v>780</v>
      </c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>
      <c r="A76" s="8">
        <v>2016.0</v>
      </c>
      <c r="B76" s="8" t="s">
        <v>147</v>
      </c>
      <c r="C76" s="8">
        <v>16.0</v>
      </c>
      <c r="D76" s="2" t="s">
        <v>781</v>
      </c>
      <c r="E76" s="2"/>
      <c r="F76" s="8">
        <v>78.0</v>
      </c>
      <c r="G76" s="2" t="s">
        <v>154</v>
      </c>
      <c r="H76" s="2" t="s">
        <v>782</v>
      </c>
      <c r="I76" s="2" t="s">
        <v>783</v>
      </c>
      <c r="J76" s="11">
        <v>68.9</v>
      </c>
      <c r="K76" s="8"/>
      <c r="L76" s="8"/>
      <c r="M76" s="14">
        <v>7.0</v>
      </c>
      <c r="N76" s="15">
        <v>0.4534722222222222</v>
      </c>
      <c r="O76" s="17" t="s">
        <v>784</v>
      </c>
      <c r="P76" s="15">
        <v>0.5159722222222222</v>
      </c>
      <c r="Q76" s="15">
        <v>0.5861111111111111</v>
      </c>
      <c r="R76" s="15" t="s">
        <v>175</v>
      </c>
      <c r="S76" s="18">
        <v>0.6590277777777778</v>
      </c>
      <c r="T76" s="20" t="s">
        <v>785</v>
      </c>
      <c r="U76" s="2" t="s">
        <v>367</v>
      </c>
      <c r="V76" s="2" t="s">
        <v>175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>
      <c r="A77" s="8">
        <v>2016.0</v>
      </c>
      <c r="B77" s="8" t="s">
        <v>147</v>
      </c>
      <c r="C77" s="8">
        <v>16.0</v>
      </c>
      <c r="D77" s="2" t="s">
        <v>794</v>
      </c>
      <c r="E77" s="2"/>
      <c r="F77" s="8">
        <v>79.0</v>
      </c>
      <c r="G77" s="2" t="s">
        <v>154</v>
      </c>
      <c r="H77" s="2" t="s">
        <v>797</v>
      </c>
      <c r="I77" s="2" t="s">
        <v>802</v>
      </c>
      <c r="J77" s="11">
        <v>64.7</v>
      </c>
      <c r="K77" s="8"/>
      <c r="L77" s="8"/>
      <c r="M77" s="14">
        <v>8.0</v>
      </c>
      <c r="N77" s="15">
        <v>0.4548611111111111</v>
      </c>
      <c r="O77" s="17" t="s">
        <v>377</v>
      </c>
      <c r="P77" s="15">
        <v>0.5180555555555556</v>
      </c>
      <c r="Q77" s="15">
        <v>0.5902777777777778</v>
      </c>
      <c r="R77" s="15" t="s">
        <v>175</v>
      </c>
      <c r="S77" s="18">
        <v>0.6604166666666667</v>
      </c>
      <c r="T77" s="20" t="s">
        <v>808</v>
      </c>
      <c r="U77" s="2" t="s">
        <v>509</v>
      </c>
      <c r="V77" s="2" t="s">
        <v>175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>
      <c r="A78" s="8">
        <v>2016.0</v>
      </c>
      <c r="B78" s="8" t="s">
        <v>147</v>
      </c>
      <c r="C78" s="8">
        <v>16.0</v>
      </c>
      <c r="D78" s="2" t="s">
        <v>809</v>
      </c>
      <c r="E78" s="2"/>
      <c r="F78" s="8">
        <v>80.0</v>
      </c>
      <c r="G78" s="2" t="s">
        <v>154</v>
      </c>
      <c r="H78" s="2" t="s">
        <v>810</v>
      </c>
      <c r="I78" s="2" t="s">
        <v>812</v>
      </c>
      <c r="J78" s="11">
        <v>65.2</v>
      </c>
      <c r="K78" s="8"/>
      <c r="L78" s="8"/>
      <c r="M78" s="14">
        <v>9.0</v>
      </c>
      <c r="N78" s="15">
        <v>0.4597222222222222</v>
      </c>
      <c r="O78" s="17" t="s">
        <v>586</v>
      </c>
      <c r="P78" s="15">
        <v>0.5208333333333334</v>
      </c>
      <c r="Q78" s="15">
        <v>0.5916666666666667</v>
      </c>
      <c r="R78" s="15" t="s">
        <v>175</v>
      </c>
      <c r="S78" s="18">
        <v>0.6625</v>
      </c>
      <c r="T78" s="20" t="s">
        <v>814</v>
      </c>
      <c r="U78" s="2" t="s">
        <v>414</v>
      </c>
      <c r="V78" s="2" t="s">
        <v>175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>
      <c r="A79" s="8">
        <v>2016.0</v>
      </c>
      <c r="B79" s="8" t="s">
        <v>147</v>
      </c>
      <c r="C79" s="8">
        <v>16.0</v>
      </c>
      <c r="D79" s="2" t="s">
        <v>818</v>
      </c>
      <c r="E79" s="2"/>
      <c r="F79" s="8">
        <v>81.0</v>
      </c>
      <c r="G79" s="2" t="s">
        <v>154</v>
      </c>
      <c r="H79" s="2" t="s">
        <v>819</v>
      </c>
      <c r="I79" s="2" t="s">
        <v>820</v>
      </c>
      <c r="J79" s="11">
        <v>63.3</v>
      </c>
      <c r="K79" s="8"/>
      <c r="L79" s="8"/>
      <c r="M79" s="14">
        <v>10.0</v>
      </c>
      <c r="N79" s="15">
        <v>0.46388888888888885</v>
      </c>
      <c r="O79" s="17" t="s">
        <v>455</v>
      </c>
      <c r="P79" s="15">
        <v>0.5222222222222223</v>
      </c>
      <c r="Q79" s="15">
        <v>0.59375</v>
      </c>
      <c r="R79" s="15" t="s">
        <v>175</v>
      </c>
      <c r="S79" s="18">
        <v>0.6645833333333333</v>
      </c>
      <c r="T79" s="20" t="s">
        <v>294</v>
      </c>
      <c r="U79" s="2" t="s">
        <v>309</v>
      </c>
      <c r="V79" s="2" t="s">
        <v>175</v>
      </c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>
      <c r="A80" s="8">
        <v>2016.0</v>
      </c>
      <c r="B80" s="8" t="s">
        <v>147</v>
      </c>
      <c r="C80" s="8">
        <v>17.0</v>
      </c>
      <c r="D80" s="2" t="s">
        <v>790</v>
      </c>
      <c r="E80" s="2"/>
      <c r="F80" s="8">
        <v>84.0</v>
      </c>
      <c r="G80" s="2" t="s">
        <v>154</v>
      </c>
      <c r="H80" s="2" t="s">
        <v>788</v>
      </c>
      <c r="I80" s="2" t="s">
        <v>789</v>
      </c>
      <c r="J80" s="11">
        <v>62.0</v>
      </c>
      <c r="K80" s="8"/>
      <c r="L80" s="8"/>
      <c r="M80" s="14">
        <v>1.0</v>
      </c>
      <c r="N80" s="15">
        <v>0.25</v>
      </c>
      <c r="O80" s="17" t="s">
        <v>826</v>
      </c>
      <c r="P80" s="15">
        <v>0.3333333333333333</v>
      </c>
      <c r="Q80" s="15">
        <v>0.4159722222222222</v>
      </c>
      <c r="R80" s="15">
        <v>0.5416666666666666</v>
      </c>
      <c r="S80" s="18">
        <v>0.7083333333333334</v>
      </c>
      <c r="T80" s="20" t="s">
        <v>827</v>
      </c>
      <c r="U80" s="2" t="s">
        <v>828</v>
      </c>
      <c r="V80" s="2" t="s">
        <v>829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>
      <c r="A81" s="8">
        <v>2016.0</v>
      </c>
      <c r="B81" s="8" t="s">
        <v>147</v>
      </c>
      <c r="C81" s="8">
        <v>17.0</v>
      </c>
      <c r="D81" s="2" t="s">
        <v>817</v>
      </c>
      <c r="E81" s="2"/>
      <c r="F81" s="8">
        <v>85.0</v>
      </c>
      <c r="G81" s="2" t="s">
        <v>154</v>
      </c>
      <c r="H81" s="2" t="s">
        <v>815</v>
      </c>
      <c r="I81" s="2" t="s">
        <v>816</v>
      </c>
      <c r="J81" s="11">
        <v>67.6</v>
      </c>
      <c r="K81" s="8"/>
      <c r="L81" s="8"/>
      <c r="M81" s="14">
        <v>2.0</v>
      </c>
      <c r="N81" s="15">
        <v>0.2569444444444445</v>
      </c>
      <c r="O81" s="17" t="s">
        <v>831</v>
      </c>
      <c r="P81" s="15">
        <v>0.3444444444444445</v>
      </c>
      <c r="Q81" s="15">
        <v>0.4277777777777778</v>
      </c>
      <c r="R81" s="15">
        <v>0.545138888888889</v>
      </c>
      <c r="S81" s="18">
        <v>0.5819444444444445</v>
      </c>
      <c r="T81" s="20" t="s">
        <v>833</v>
      </c>
      <c r="U81" s="2" t="s">
        <v>834</v>
      </c>
      <c r="V81" s="2" t="s">
        <v>835</v>
      </c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>
      <c r="A82" s="8">
        <v>2016.0</v>
      </c>
      <c r="B82" s="8" t="s">
        <v>147</v>
      </c>
      <c r="C82" s="8">
        <v>17.0</v>
      </c>
      <c r="D82" s="2" t="s">
        <v>824</v>
      </c>
      <c r="E82" s="2"/>
      <c r="F82" s="8">
        <v>86.0</v>
      </c>
      <c r="G82" s="2" t="s">
        <v>154</v>
      </c>
      <c r="H82" s="2" t="s">
        <v>822</v>
      </c>
      <c r="I82" s="2" t="s">
        <v>823</v>
      </c>
      <c r="J82" s="11">
        <v>59.6</v>
      </c>
      <c r="K82" s="8"/>
      <c r="L82" s="8"/>
      <c r="M82" s="14">
        <v>3.0</v>
      </c>
      <c r="N82" s="15">
        <v>0.26319444444444445</v>
      </c>
      <c r="O82" s="17" t="s">
        <v>839</v>
      </c>
      <c r="P82" s="15">
        <v>0.34791666666666665</v>
      </c>
      <c r="Q82" s="15">
        <v>0.44027777777777777</v>
      </c>
      <c r="R82" s="15" t="s">
        <v>175</v>
      </c>
      <c r="S82" s="18">
        <v>0.48819444444444443</v>
      </c>
      <c r="T82" s="20" t="s">
        <v>840</v>
      </c>
      <c r="U82" s="2" t="s">
        <v>367</v>
      </c>
      <c r="V82" s="2" t="s">
        <v>842</v>
      </c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>
      <c r="A83" s="8">
        <v>2016.0</v>
      </c>
      <c r="B83" s="8" t="s">
        <v>147</v>
      </c>
      <c r="C83" s="8">
        <v>17.0</v>
      </c>
      <c r="D83" s="2" t="s">
        <v>844</v>
      </c>
      <c r="E83" s="2"/>
      <c r="F83" s="8">
        <v>87.0</v>
      </c>
      <c r="G83" s="2" t="s">
        <v>154</v>
      </c>
      <c r="H83" s="2" t="s">
        <v>845</v>
      </c>
      <c r="I83" s="2" t="s">
        <v>846</v>
      </c>
      <c r="J83" s="11">
        <v>75.3</v>
      </c>
      <c r="K83" s="8"/>
      <c r="L83" s="8"/>
      <c r="M83" s="14">
        <v>4.0</v>
      </c>
      <c r="N83" s="15">
        <v>0.26458333333333334</v>
      </c>
      <c r="O83" s="17" t="s">
        <v>847</v>
      </c>
      <c r="P83" s="15">
        <v>0.3506944444444444</v>
      </c>
      <c r="Q83" s="15">
        <v>0.45</v>
      </c>
      <c r="R83" s="15">
        <v>0.5548611111111111</v>
      </c>
      <c r="S83" s="18">
        <v>0.7131944444444445</v>
      </c>
      <c r="T83" s="20" t="s">
        <v>848</v>
      </c>
      <c r="U83" s="2" t="s">
        <v>309</v>
      </c>
      <c r="V83" s="2" t="s">
        <v>175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>
      <c r="A84" s="8">
        <v>2016.0</v>
      </c>
      <c r="B84" s="8" t="s">
        <v>147</v>
      </c>
      <c r="C84" s="8">
        <v>17.0</v>
      </c>
      <c r="D84" s="2" t="s">
        <v>795</v>
      </c>
      <c r="E84" s="2"/>
      <c r="F84" s="8">
        <v>88.0</v>
      </c>
      <c r="G84" s="2" t="s">
        <v>154</v>
      </c>
      <c r="H84" s="2" t="s">
        <v>792</v>
      </c>
      <c r="I84" s="2" t="s">
        <v>793</v>
      </c>
      <c r="J84" s="11">
        <v>80.9</v>
      </c>
      <c r="K84" s="8"/>
      <c r="L84" s="8"/>
      <c r="M84" s="14">
        <v>5.0</v>
      </c>
      <c r="N84" s="15">
        <v>0.2673611111111111</v>
      </c>
      <c r="O84" s="17" t="s">
        <v>856</v>
      </c>
      <c r="P84" s="15">
        <v>0.3527777777777778</v>
      </c>
      <c r="Q84" s="15">
        <v>0.4527777777777778</v>
      </c>
      <c r="R84" s="15">
        <v>0.5569444444444445</v>
      </c>
      <c r="S84" s="18">
        <v>0.7159722222222222</v>
      </c>
      <c r="T84" s="20" t="s">
        <v>858</v>
      </c>
      <c r="U84" s="2" t="s">
        <v>309</v>
      </c>
      <c r="V84" s="2" t="s">
        <v>859</v>
      </c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>
      <c r="A85" s="8">
        <v>2016.0</v>
      </c>
      <c r="B85" s="8" t="s">
        <v>147</v>
      </c>
      <c r="C85" s="8">
        <v>17.0</v>
      </c>
      <c r="D85" s="2" t="s">
        <v>800</v>
      </c>
      <c r="E85" s="2"/>
      <c r="F85" s="8">
        <v>89.0</v>
      </c>
      <c r="G85" s="2" t="s">
        <v>154</v>
      </c>
      <c r="H85" s="2" t="s">
        <v>798</v>
      </c>
      <c r="I85" s="2" t="s">
        <v>799</v>
      </c>
      <c r="J85" s="11">
        <v>79.0</v>
      </c>
      <c r="K85" s="8"/>
      <c r="L85" s="8"/>
      <c r="M85" s="14">
        <v>6.0</v>
      </c>
      <c r="N85" s="15">
        <v>0.26805555555555555</v>
      </c>
      <c r="O85" s="17" t="s">
        <v>867</v>
      </c>
      <c r="P85" s="15">
        <v>0.3638888888888889</v>
      </c>
      <c r="Q85" s="15">
        <v>0.4618055555555556</v>
      </c>
      <c r="R85" s="15">
        <v>0.5583333333333333</v>
      </c>
      <c r="S85" s="18">
        <v>0.7194444444444444</v>
      </c>
      <c r="T85" s="20" t="s">
        <v>339</v>
      </c>
      <c r="U85" s="2" t="s">
        <v>309</v>
      </c>
      <c r="V85" s="2" t="s">
        <v>870</v>
      </c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>
      <c r="A86" s="8">
        <v>2016.0</v>
      </c>
      <c r="B86" s="8" t="s">
        <v>147</v>
      </c>
      <c r="C86" s="8">
        <v>17.0</v>
      </c>
      <c r="D86" s="2" t="s">
        <v>805</v>
      </c>
      <c r="E86" s="2"/>
      <c r="F86" s="8">
        <v>90.0</v>
      </c>
      <c r="G86" s="2" t="s">
        <v>154</v>
      </c>
      <c r="H86" s="2" t="s">
        <v>803</v>
      </c>
      <c r="I86" s="2" t="s">
        <v>804</v>
      </c>
      <c r="J86" s="11">
        <v>76.7</v>
      </c>
      <c r="K86" s="8"/>
      <c r="L86" s="8"/>
      <c r="M86" s="14">
        <v>7.0</v>
      </c>
      <c r="N86" s="15">
        <v>0.27152777777777776</v>
      </c>
      <c r="O86" s="17" t="s">
        <v>875</v>
      </c>
      <c r="P86" s="15">
        <v>0.375</v>
      </c>
      <c r="Q86" s="15">
        <v>0.46319444444444446</v>
      </c>
      <c r="R86" s="34" t="s">
        <v>175</v>
      </c>
      <c r="S86" s="18">
        <v>0.5597222222222222</v>
      </c>
      <c r="T86" s="20" t="s">
        <v>878</v>
      </c>
      <c r="U86" s="2" t="s">
        <v>879</v>
      </c>
      <c r="V86" s="2" t="s">
        <v>880</v>
      </c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>
      <c r="A87" s="8">
        <v>2016.0</v>
      </c>
      <c r="B87" s="8" t="s">
        <v>147</v>
      </c>
      <c r="C87" s="8">
        <v>17.0</v>
      </c>
      <c r="D87" s="2" t="s">
        <v>885</v>
      </c>
      <c r="E87" s="2"/>
      <c r="F87" s="8">
        <v>91.0</v>
      </c>
      <c r="G87" s="2" t="s">
        <v>154</v>
      </c>
      <c r="H87" s="2" t="s">
        <v>887</v>
      </c>
      <c r="I87" s="2" t="s">
        <v>888</v>
      </c>
      <c r="J87" s="11">
        <v>74.2</v>
      </c>
      <c r="K87" s="8"/>
      <c r="L87" s="8"/>
      <c r="M87" s="14">
        <v>8.0</v>
      </c>
      <c r="N87" s="15">
        <v>0.27569444444444446</v>
      </c>
      <c r="O87" s="17" t="s">
        <v>890</v>
      </c>
      <c r="P87" s="15">
        <v>0.38819444444444445</v>
      </c>
      <c r="Q87" s="15" t="s">
        <v>175</v>
      </c>
      <c r="R87" s="15" t="s">
        <v>175</v>
      </c>
      <c r="S87" s="18" t="s">
        <v>175</v>
      </c>
      <c r="T87" s="20" t="s">
        <v>175</v>
      </c>
      <c r="U87" s="2" t="s">
        <v>891</v>
      </c>
      <c r="V87" s="2" t="s">
        <v>893</v>
      </c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>
      <c r="A88" s="8">
        <v>2016.0</v>
      </c>
      <c r="B88" s="8" t="s">
        <v>147</v>
      </c>
      <c r="C88" s="8">
        <v>17.0</v>
      </c>
      <c r="D88" s="2" t="s">
        <v>853</v>
      </c>
      <c r="E88" s="2"/>
      <c r="F88" s="8">
        <v>92.0</v>
      </c>
      <c r="G88" s="2" t="s">
        <v>154</v>
      </c>
      <c r="H88" s="2" t="s">
        <v>851</v>
      </c>
      <c r="I88" s="2" t="s">
        <v>852</v>
      </c>
      <c r="J88" s="11">
        <v>74.0</v>
      </c>
      <c r="K88" s="8"/>
      <c r="L88" s="8"/>
      <c r="M88" s="14">
        <v>9.0</v>
      </c>
      <c r="N88" s="15">
        <v>0.2777777777777778</v>
      </c>
      <c r="O88" s="17" t="s">
        <v>899</v>
      </c>
      <c r="P88" s="15">
        <v>0.38958333333333334</v>
      </c>
      <c r="Q88" s="15">
        <v>0.46875</v>
      </c>
      <c r="R88" s="15">
        <v>0.5659722222222222</v>
      </c>
      <c r="S88" s="18">
        <v>0.59375</v>
      </c>
      <c r="T88" s="20" t="s">
        <v>903</v>
      </c>
      <c r="U88" s="2" t="s">
        <v>806</v>
      </c>
      <c r="V88" s="2" t="s">
        <v>904</v>
      </c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>
      <c r="A89" s="8">
        <v>2016.0</v>
      </c>
      <c r="B89" s="8" t="s">
        <v>147</v>
      </c>
      <c r="C89" s="8">
        <v>17.0</v>
      </c>
      <c r="D89" s="2" t="s">
        <v>863</v>
      </c>
      <c r="E89" s="2"/>
      <c r="F89" s="8">
        <v>93.0</v>
      </c>
      <c r="G89" s="2" t="s">
        <v>154</v>
      </c>
      <c r="H89" s="2" t="s">
        <v>861</v>
      </c>
      <c r="I89" s="2" t="s">
        <v>862</v>
      </c>
      <c r="J89" s="11">
        <v>76.7</v>
      </c>
      <c r="K89" s="8"/>
      <c r="L89" s="8"/>
      <c r="M89" s="14">
        <v>10.0</v>
      </c>
      <c r="N89" s="15">
        <v>0.2826388888888889</v>
      </c>
      <c r="O89" s="17" t="s">
        <v>937</v>
      </c>
      <c r="P89" s="15">
        <v>0.39166666666666666</v>
      </c>
      <c r="Q89" s="15">
        <v>0.4701388888888889</v>
      </c>
      <c r="R89" s="15">
        <v>0.5701388888888889</v>
      </c>
      <c r="S89" s="18">
        <v>0.6513888888888889</v>
      </c>
      <c r="T89" s="20" t="s">
        <v>940</v>
      </c>
      <c r="U89" s="2" t="s">
        <v>806</v>
      </c>
      <c r="V89" s="2" t="s">
        <v>942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>
      <c r="A90" s="8">
        <v>2016.0</v>
      </c>
      <c r="B90" s="8" t="s">
        <v>147</v>
      </c>
      <c r="C90" s="8">
        <v>18.0</v>
      </c>
      <c r="D90" s="2" t="s">
        <v>944</v>
      </c>
      <c r="E90" s="2"/>
      <c r="F90" s="8">
        <v>95.0</v>
      </c>
      <c r="G90" s="2" t="s">
        <v>154</v>
      </c>
      <c r="H90" s="2" t="s">
        <v>945</v>
      </c>
      <c r="I90" s="2" t="s">
        <v>946</v>
      </c>
      <c r="J90" s="11">
        <v>75.3</v>
      </c>
      <c r="K90" s="8"/>
      <c r="L90" s="8"/>
      <c r="M90" s="14">
        <v>1.0</v>
      </c>
      <c r="N90" s="15">
        <v>0.2590277777777778</v>
      </c>
      <c r="O90" s="17" t="s">
        <v>949</v>
      </c>
      <c r="P90" s="15">
        <v>0.3284722222222222</v>
      </c>
      <c r="Q90" s="15">
        <v>0.40208333333333335</v>
      </c>
      <c r="R90" s="15" t="s">
        <v>175</v>
      </c>
      <c r="S90" s="18">
        <v>0.48819444444444443</v>
      </c>
      <c r="T90" s="20" t="s">
        <v>840</v>
      </c>
      <c r="U90" s="2" t="s">
        <v>950</v>
      </c>
      <c r="V90" s="2" t="s">
        <v>175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>
      <c r="A91" s="8">
        <v>2016.0</v>
      </c>
      <c r="B91" s="8" t="s">
        <v>147</v>
      </c>
      <c r="C91" s="8">
        <v>18.0</v>
      </c>
      <c r="D91" s="2" t="s">
        <v>954</v>
      </c>
      <c r="E91" s="2"/>
      <c r="F91" s="8">
        <v>96.0</v>
      </c>
      <c r="G91" s="2" t="s">
        <v>154</v>
      </c>
      <c r="H91" s="2" t="s">
        <v>957</v>
      </c>
      <c r="I91" s="2" t="s">
        <v>959</v>
      </c>
      <c r="J91" s="11">
        <v>68.4</v>
      </c>
      <c r="K91" s="8"/>
      <c r="L91" s="8"/>
      <c r="M91" s="14">
        <v>2.0</v>
      </c>
      <c r="N91" s="15">
        <v>0.2611111111111111</v>
      </c>
      <c r="O91" s="17" t="s">
        <v>960</v>
      </c>
      <c r="P91" s="15">
        <v>0.33125</v>
      </c>
      <c r="Q91" s="15">
        <v>0.4041666666666666</v>
      </c>
      <c r="R91" s="15" t="s">
        <v>175</v>
      </c>
      <c r="S91" s="18">
        <v>0.4902777777777778</v>
      </c>
      <c r="T91" s="20" t="s">
        <v>961</v>
      </c>
      <c r="U91" s="2" t="s">
        <v>806</v>
      </c>
      <c r="V91" s="2" t="s">
        <v>175</v>
      </c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>
      <c r="A92" s="8">
        <v>2016.0</v>
      </c>
      <c r="B92" s="8" t="s">
        <v>147</v>
      </c>
      <c r="C92" s="8">
        <v>18.0</v>
      </c>
      <c r="D92" s="2" t="s">
        <v>965</v>
      </c>
      <c r="E92" s="2"/>
      <c r="F92" s="8">
        <v>97.0</v>
      </c>
      <c r="G92" s="2" t="s">
        <v>154</v>
      </c>
      <c r="H92" s="2" t="s">
        <v>966</v>
      </c>
      <c r="I92" s="2" t="s">
        <v>967</v>
      </c>
      <c r="J92" s="11">
        <v>67.8</v>
      </c>
      <c r="K92" s="8"/>
      <c r="L92" s="8"/>
      <c r="M92" s="14">
        <v>3.0</v>
      </c>
      <c r="N92" s="15">
        <v>0.2638888888888889</v>
      </c>
      <c r="O92" s="17" t="s">
        <v>969</v>
      </c>
      <c r="P92" s="15">
        <v>0.3326388888888889</v>
      </c>
      <c r="Q92" s="15">
        <v>0.4055555555555555</v>
      </c>
      <c r="R92" s="50" t="s">
        <v>175</v>
      </c>
      <c r="S92" s="18">
        <v>0.4930555555555556</v>
      </c>
      <c r="T92" s="20" t="s">
        <v>973</v>
      </c>
      <c r="U92" s="2" t="s">
        <v>950</v>
      </c>
      <c r="V92" s="2" t="s">
        <v>175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>
      <c r="A93" s="8">
        <v>2016.0</v>
      </c>
      <c r="B93" s="8" t="s">
        <v>147</v>
      </c>
      <c r="C93" s="8">
        <v>18.0</v>
      </c>
      <c r="D93" s="2" t="s">
        <v>1044</v>
      </c>
      <c r="E93" s="2"/>
      <c r="F93" s="8">
        <v>98.0</v>
      </c>
      <c r="G93" s="2" t="s">
        <v>154</v>
      </c>
      <c r="H93" s="2" t="s">
        <v>1049</v>
      </c>
      <c r="I93" s="2" t="s">
        <v>1054</v>
      </c>
      <c r="J93" s="11">
        <v>85.5</v>
      </c>
      <c r="K93" s="8"/>
      <c r="L93" s="8"/>
      <c r="M93" s="14">
        <v>4.0</v>
      </c>
      <c r="N93" s="15">
        <v>0.2673611111111111</v>
      </c>
      <c r="O93" s="17" t="s">
        <v>856</v>
      </c>
      <c r="P93" s="15">
        <v>0.3347222222222222</v>
      </c>
      <c r="Q93" s="15">
        <v>0.4069444444444445</v>
      </c>
      <c r="R93" s="15" t="s">
        <v>175</v>
      </c>
      <c r="S93" s="18">
        <v>0.49583333333333335</v>
      </c>
      <c r="T93" s="20" t="s">
        <v>1057</v>
      </c>
      <c r="U93" s="2" t="s">
        <v>806</v>
      </c>
      <c r="V93" s="2" t="s">
        <v>175</v>
      </c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>
      <c r="A94" s="8">
        <v>2016.0</v>
      </c>
      <c r="B94" s="8" t="s">
        <v>147</v>
      </c>
      <c r="C94" s="8">
        <v>18.0</v>
      </c>
      <c r="D94" s="2" t="s">
        <v>1065</v>
      </c>
      <c r="E94" s="2"/>
      <c r="F94" s="8">
        <v>99.0</v>
      </c>
      <c r="G94" s="2" t="s">
        <v>154</v>
      </c>
      <c r="H94" s="2" t="s">
        <v>1068</v>
      </c>
      <c r="I94" s="2" t="s">
        <v>1069</v>
      </c>
      <c r="J94" s="11">
        <v>80.6</v>
      </c>
      <c r="K94" s="8"/>
      <c r="L94" s="8"/>
      <c r="M94" s="14">
        <v>5.0</v>
      </c>
      <c r="N94" s="15">
        <v>0.2708333333333333</v>
      </c>
      <c r="O94" s="17" t="s">
        <v>1070</v>
      </c>
      <c r="P94" s="15">
        <v>0.3361111111111111</v>
      </c>
      <c r="Q94" s="15">
        <v>0.40972222222222227</v>
      </c>
      <c r="R94" s="15" t="s">
        <v>175</v>
      </c>
      <c r="S94" s="18">
        <v>0.4986111111111111</v>
      </c>
      <c r="T94" s="20" t="s">
        <v>1071</v>
      </c>
      <c r="U94" s="2" t="s">
        <v>367</v>
      </c>
      <c r="V94" s="2" t="s">
        <v>175</v>
      </c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>
      <c r="A95" s="8">
        <v>2016.0</v>
      </c>
      <c r="B95" s="8" t="s">
        <v>147</v>
      </c>
      <c r="C95" s="8">
        <v>18.0</v>
      </c>
      <c r="D95" s="2" t="s">
        <v>1072</v>
      </c>
      <c r="E95" s="2"/>
      <c r="F95" s="8">
        <v>100.0</v>
      </c>
      <c r="G95" s="2" t="s">
        <v>154</v>
      </c>
      <c r="H95" s="2" t="s">
        <v>1073</v>
      </c>
      <c r="I95" s="2" t="s">
        <v>1074</v>
      </c>
      <c r="J95" s="11">
        <v>80.4</v>
      </c>
      <c r="K95" s="8"/>
      <c r="L95" s="8"/>
      <c r="M95" s="14">
        <v>6.0</v>
      </c>
      <c r="N95" s="15">
        <v>0.2736111111111111</v>
      </c>
      <c r="O95" s="17" t="s">
        <v>1075</v>
      </c>
      <c r="P95" s="15">
        <v>0.33749999999999997</v>
      </c>
      <c r="Q95" s="15">
        <v>0.41111111111111115</v>
      </c>
      <c r="R95" s="15" t="s">
        <v>175</v>
      </c>
      <c r="S95" s="18">
        <v>0.5027777777777778</v>
      </c>
      <c r="T95" s="20" t="s">
        <v>1076</v>
      </c>
      <c r="U95" s="2" t="s">
        <v>267</v>
      </c>
      <c r="V95" s="2" t="s">
        <v>175</v>
      </c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>
      <c r="A96" s="8">
        <v>2016.0</v>
      </c>
      <c r="B96" s="8" t="s">
        <v>147</v>
      </c>
      <c r="C96" s="8">
        <v>18.0</v>
      </c>
      <c r="D96" s="2" t="s">
        <v>1077</v>
      </c>
      <c r="E96" s="2"/>
      <c r="F96" s="8">
        <v>101.0</v>
      </c>
      <c r="G96" s="2" t="s">
        <v>154</v>
      </c>
      <c r="H96" s="2" t="s">
        <v>1078</v>
      </c>
      <c r="I96" s="2" t="s">
        <v>869</v>
      </c>
      <c r="J96" s="11">
        <v>83.6</v>
      </c>
      <c r="K96" s="8"/>
      <c r="L96" s="8"/>
      <c r="M96" s="14">
        <v>7.0</v>
      </c>
      <c r="N96" s="15">
        <v>0.27708333333333335</v>
      </c>
      <c r="O96" s="17" t="s">
        <v>1079</v>
      </c>
      <c r="P96" s="15">
        <v>0.33888888888888885</v>
      </c>
      <c r="Q96" s="15">
        <v>0.4131944444444444</v>
      </c>
      <c r="R96" s="15" t="s">
        <v>175</v>
      </c>
      <c r="S96" s="18">
        <v>0.5076388888888889</v>
      </c>
      <c r="T96" s="20" t="s">
        <v>1082</v>
      </c>
      <c r="U96" s="2" t="s">
        <v>950</v>
      </c>
      <c r="V96" s="2" t="s">
        <v>175</v>
      </c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>
      <c r="A97" s="8">
        <v>2016.0</v>
      </c>
      <c r="B97" s="8" t="s">
        <v>147</v>
      </c>
      <c r="C97" s="8">
        <v>18.0</v>
      </c>
      <c r="D97" s="2" t="s">
        <v>871</v>
      </c>
      <c r="E97" s="2"/>
      <c r="F97" s="8">
        <v>102.0</v>
      </c>
      <c r="G97" s="2" t="s">
        <v>154</v>
      </c>
      <c r="H97" s="2" t="s">
        <v>868</v>
      </c>
      <c r="I97" s="2" t="s">
        <v>869</v>
      </c>
      <c r="J97" s="11">
        <v>88.3</v>
      </c>
      <c r="K97" s="8"/>
      <c r="L97" s="8"/>
      <c r="M97" s="14">
        <v>8.0</v>
      </c>
      <c r="N97" s="15">
        <v>0.28055555555555556</v>
      </c>
      <c r="O97" s="17" t="s">
        <v>1083</v>
      </c>
      <c r="P97" s="15">
        <v>0.34027777777777773</v>
      </c>
      <c r="Q97" s="15">
        <v>0.4145833333333333</v>
      </c>
      <c r="R97" s="15" t="s">
        <v>175</v>
      </c>
      <c r="S97" s="18">
        <v>0.5097222222222222</v>
      </c>
      <c r="T97" s="20" t="s">
        <v>1084</v>
      </c>
      <c r="U97" s="2" t="s">
        <v>309</v>
      </c>
      <c r="V97" s="2" t="s">
        <v>1085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>
      <c r="A98" s="8">
        <v>2016.0</v>
      </c>
      <c r="B98" s="8" t="s">
        <v>147</v>
      </c>
      <c r="C98" s="8">
        <v>18.0</v>
      </c>
      <c r="D98" s="2" t="s">
        <v>1088</v>
      </c>
      <c r="E98" s="2"/>
      <c r="F98" s="8">
        <v>103.0</v>
      </c>
      <c r="G98" s="2" t="s">
        <v>154</v>
      </c>
      <c r="H98" s="2" t="s">
        <v>1089</v>
      </c>
      <c r="I98" s="2" t="s">
        <v>1090</v>
      </c>
      <c r="J98" s="11">
        <v>99.0</v>
      </c>
      <c r="K98" s="8"/>
      <c r="L98" s="8"/>
      <c r="M98" s="14">
        <v>9.0</v>
      </c>
      <c r="N98" s="15">
        <v>0.2833333333333333</v>
      </c>
      <c r="O98" s="17" t="s">
        <v>1091</v>
      </c>
      <c r="P98" s="15">
        <v>0.3423611111111111</v>
      </c>
      <c r="Q98" s="15">
        <v>0.425</v>
      </c>
      <c r="R98" s="50" t="s">
        <v>175</v>
      </c>
      <c r="S98" s="18">
        <v>0.5125000000000001</v>
      </c>
      <c r="T98" s="20" t="s">
        <v>1092</v>
      </c>
      <c r="U98" s="2" t="s">
        <v>1093</v>
      </c>
      <c r="V98" s="2" t="s">
        <v>175</v>
      </c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>
      <c r="A99" s="8">
        <v>2016.0</v>
      </c>
      <c r="B99" s="8" t="s">
        <v>147</v>
      </c>
      <c r="C99" s="8">
        <v>18.0</v>
      </c>
      <c r="D99" s="2" t="s">
        <v>876</v>
      </c>
      <c r="E99" s="2"/>
      <c r="F99" s="8">
        <v>104.0</v>
      </c>
      <c r="G99" s="2" t="s">
        <v>154</v>
      </c>
      <c r="H99" s="2" t="s">
        <v>873</v>
      </c>
      <c r="I99" s="2" t="s">
        <v>874</v>
      </c>
      <c r="J99" s="11">
        <v>100.4</v>
      </c>
      <c r="K99" s="8"/>
      <c r="L99" s="8"/>
      <c r="M99" s="14">
        <v>10.0</v>
      </c>
      <c r="N99" s="15">
        <v>0.28680555555555554</v>
      </c>
      <c r="O99" s="17" t="s">
        <v>1094</v>
      </c>
      <c r="P99" s="15">
        <v>0.34375</v>
      </c>
      <c r="Q99" s="15">
        <v>0.4270833333333333</v>
      </c>
      <c r="R99" s="15" t="s">
        <v>175</v>
      </c>
      <c r="S99" s="18">
        <v>0.5152777777777778</v>
      </c>
      <c r="T99" s="20" t="s">
        <v>1115</v>
      </c>
      <c r="U99" s="2" t="s">
        <v>414</v>
      </c>
      <c r="V99" s="2" t="s">
        <v>1116</v>
      </c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>
      <c r="A100" s="8">
        <v>2016.0</v>
      </c>
      <c r="B100" s="8" t="s">
        <v>147</v>
      </c>
      <c r="C100" s="8">
        <v>19.0</v>
      </c>
      <c r="D100" s="2" t="s">
        <v>1117</v>
      </c>
      <c r="E100" s="2"/>
      <c r="F100" s="8">
        <v>105.0</v>
      </c>
      <c r="G100" s="2" t="s">
        <v>154</v>
      </c>
      <c r="H100" s="2" t="s">
        <v>1118</v>
      </c>
      <c r="I100" s="2" t="s">
        <v>1199</v>
      </c>
      <c r="J100" s="11">
        <v>78.2</v>
      </c>
      <c r="K100" s="8"/>
      <c r="L100" s="8"/>
      <c r="M100" s="14">
        <v>1.0</v>
      </c>
      <c r="N100" s="15">
        <v>0.4479166666666667</v>
      </c>
      <c r="O100" s="17" t="s">
        <v>345</v>
      </c>
      <c r="P100" s="15">
        <v>0.5145833333333333</v>
      </c>
      <c r="Q100" s="15">
        <v>0.5756944444444444</v>
      </c>
      <c r="R100" s="15" t="s">
        <v>175</v>
      </c>
      <c r="S100" s="18">
        <v>0.6666666666666666</v>
      </c>
      <c r="T100" s="20" t="s">
        <v>679</v>
      </c>
      <c r="U100" s="2" t="s">
        <v>806</v>
      </c>
      <c r="V100" s="2" t="s">
        <v>175</v>
      </c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>
      <c r="A101" s="8">
        <v>2016.0</v>
      </c>
      <c r="B101" s="8" t="s">
        <v>147</v>
      </c>
      <c r="C101" s="8">
        <v>19.0</v>
      </c>
      <c r="D101" s="2" t="s">
        <v>1205</v>
      </c>
      <c r="E101" s="2"/>
      <c r="F101" s="8">
        <v>106.0</v>
      </c>
      <c r="G101" s="2" t="s">
        <v>154</v>
      </c>
      <c r="H101" s="2" t="s">
        <v>1206</v>
      </c>
      <c r="I101" s="2" t="s">
        <v>1207</v>
      </c>
      <c r="J101" s="11">
        <v>75.9</v>
      </c>
      <c r="K101" s="8"/>
      <c r="L101" s="8"/>
      <c r="M101" s="14">
        <v>2.0</v>
      </c>
      <c r="N101" s="15">
        <v>0.4513888888888889</v>
      </c>
      <c r="O101" s="17" t="s">
        <v>364</v>
      </c>
      <c r="P101" s="15">
        <v>0.5166666666666667</v>
      </c>
      <c r="Q101" s="15">
        <v>0.07708333333333334</v>
      </c>
      <c r="R101" s="15" t="s">
        <v>175</v>
      </c>
      <c r="S101" s="18">
        <v>0.6701388888888888</v>
      </c>
      <c r="T101" s="20" t="s">
        <v>1209</v>
      </c>
      <c r="U101" s="2" t="s">
        <v>950</v>
      </c>
      <c r="V101" s="2" t="s">
        <v>175</v>
      </c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>
      <c r="A102" s="8">
        <v>2016.0</v>
      </c>
      <c r="B102" s="8" t="s">
        <v>147</v>
      </c>
      <c r="C102" s="8">
        <v>19.0</v>
      </c>
      <c r="D102" s="2" t="s">
        <v>1212</v>
      </c>
      <c r="E102" s="2"/>
      <c r="F102" s="8">
        <v>107.0</v>
      </c>
      <c r="G102" s="2" t="s">
        <v>154</v>
      </c>
      <c r="H102" s="2" t="s">
        <v>1213</v>
      </c>
      <c r="I102" s="2" t="s">
        <v>1214</v>
      </c>
      <c r="J102" s="11">
        <v>79.8</v>
      </c>
      <c r="K102" s="8"/>
      <c r="L102" s="8"/>
      <c r="M102" s="14">
        <v>3.0</v>
      </c>
      <c r="N102" s="15">
        <v>0.45416666666666666</v>
      </c>
      <c r="O102" s="17" t="s">
        <v>276</v>
      </c>
      <c r="P102" s="15">
        <v>0.5187499999999999</v>
      </c>
      <c r="Q102" s="15">
        <v>0.5784722222222222</v>
      </c>
      <c r="R102" s="15" t="s">
        <v>175</v>
      </c>
      <c r="S102" s="18">
        <v>0.6729166666666666</v>
      </c>
      <c r="T102" s="20" t="s">
        <v>1218</v>
      </c>
      <c r="U102" s="2" t="s">
        <v>806</v>
      </c>
      <c r="V102" s="2" t="s">
        <v>175</v>
      </c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>
      <c r="A103" s="8">
        <v>2016.0</v>
      </c>
      <c r="B103" s="8" t="s">
        <v>147</v>
      </c>
      <c r="C103" s="8">
        <v>19.0</v>
      </c>
      <c r="D103" s="2" t="s">
        <v>1219</v>
      </c>
      <c r="E103" s="2"/>
      <c r="F103" s="8">
        <v>108.0</v>
      </c>
      <c r="G103" s="2" t="s">
        <v>154</v>
      </c>
      <c r="H103" s="2" t="s">
        <v>1220</v>
      </c>
      <c r="I103" s="2" t="s">
        <v>1221</v>
      </c>
      <c r="J103" s="11">
        <v>77.6</v>
      </c>
      <c r="K103" s="8"/>
      <c r="L103" s="8"/>
      <c r="M103" s="14">
        <v>4.0</v>
      </c>
      <c r="N103" s="15">
        <v>0.4576388888888889</v>
      </c>
      <c r="O103" s="17" t="s">
        <v>1222</v>
      </c>
      <c r="P103" s="15">
        <v>0.5208333333333334</v>
      </c>
      <c r="Q103" s="15">
        <v>0.579861111111111</v>
      </c>
      <c r="R103" s="15" t="s">
        <v>175</v>
      </c>
      <c r="S103" s="18">
        <v>0.6756944444444444</v>
      </c>
      <c r="T103" s="20" t="s">
        <v>1223</v>
      </c>
      <c r="U103" s="2" t="s">
        <v>806</v>
      </c>
      <c r="V103" s="2" t="s">
        <v>175</v>
      </c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>
      <c r="A104" s="8">
        <v>2016.0</v>
      </c>
      <c r="B104" s="8" t="s">
        <v>147</v>
      </c>
      <c r="C104" s="8">
        <v>19.0</v>
      </c>
      <c r="D104" s="2" t="s">
        <v>1224</v>
      </c>
      <c r="E104" s="2"/>
      <c r="F104" s="8">
        <v>109.0</v>
      </c>
      <c r="G104" s="2" t="s">
        <v>154</v>
      </c>
      <c r="H104" s="2" t="s">
        <v>1225</v>
      </c>
      <c r="I104" s="2" t="s">
        <v>1226</v>
      </c>
      <c r="J104" s="11">
        <v>76.5</v>
      </c>
      <c r="K104" s="8"/>
      <c r="L104" s="8"/>
      <c r="M104" s="14">
        <v>5.0</v>
      </c>
      <c r="N104" s="15">
        <v>0.4611111111111111</v>
      </c>
      <c r="O104" s="17" t="s">
        <v>1227</v>
      </c>
      <c r="P104" s="15">
        <v>0.5236111111111111</v>
      </c>
      <c r="Q104" s="15" t="s">
        <v>1228</v>
      </c>
      <c r="R104" s="15" t="s">
        <v>175</v>
      </c>
      <c r="S104" s="18">
        <v>0.6777777777777777</v>
      </c>
      <c r="T104" s="20" t="s">
        <v>1229</v>
      </c>
      <c r="U104" s="2" t="s">
        <v>806</v>
      </c>
      <c r="V104" s="2" t="s">
        <v>175</v>
      </c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>
      <c r="A105" s="8">
        <v>2016.0</v>
      </c>
      <c r="B105" s="8" t="s">
        <v>147</v>
      </c>
      <c r="C105" s="8">
        <v>19.0</v>
      </c>
      <c r="D105" s="2" t="s">
        <v>884</v>
      </c>
      <c r="E105" s="2"/>
      <c r="F105" s="8">
        <v>110.0</v>
      </c>
      <c r="G105" s="2" t="s">
        <v>154</v>
      </c>
      <c r="H105" s="2" t="s">
        <v>882</v>
      </c>
      <c r="I105" s="2" t="s">
        <v>883</v>
      </c>
      <c r="J105" s="11">
        <v>79.8</v>
      </c>
      <c r="K105" s="8"/>
      <c r="L105" s="8"/>
      <c r="M105" s="14">
        <v>6.0</v>
      </c>
      <c r="N105" s="15">
        <v>0.46527777777777773</v>
      </c>
      <c r="O105" s="17" t="s">
        <v>1234</v>
      </c>
      <c r="P105" s="15">
        <v>0.5256944444444445</v>
      </c>
      <c r="Q105" s="15">
        <v>0.5833333333333334</v>
      </c>
      <c r="R105" s="15" t="s">
        <v>175</v>
      </c>
      <c r="S105" s="18">
        <v>0.6805555555555555</v>
      </c>
      <c r="T105" s="20" t="s">
        <v>308</v>
      </c>
      <c r="U105" s="2" t="s">
        <v>367</v>
      </c>
      <c r="V105" s="2" t="s">
        <v>1236</v>
      </c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>
      <c r="A106" s="8">
        <v>2016.0</v>
      </c>
      <c r="B106" s="8" t="s">
        <v>147</v>
      </c>
      <c r="C106" s="8">
        <v>19.0</v>
      </c>
      <c r="D106" s="2" t="s">
        <v>895</v>
      </c>
      <c r="E106" s="2"/>
      <c r="F106" s="8">
        <v>111.0</v>
      </c>
      <c r="G106" s="2" t="s">
        <v>154</v>
      </c>
      <c r="H106" s="2" t="s">
        <v>892</v>
      </c>
      <c r="I106" s="2" t="s">
        <v>894</v>
      </c>
      <c r="J106" s="11">
        <v>78.4</v>
      </c>
      <c r="K106" s="8"/>
      <c r="L106" s="8"/>
      <c r="M106" s="14">
        <v>7.0</v>
      </c>
      <c r="N106" s="15">
        <v>0.4680555555555555</v>
      </c>
      <c r="O106" s="17" t="s">
        <v>292</v>
      </c>
      <c r="P106" s="15">
        <v>0.5284722222222222</v>
      </c>
      <c r="Q106" s="15">
        <v>0.5861111111111111</v>
      </c>
      <c r="R106" s="15" t="s">
        <v>175</v>
      </c>
      <c r="S106" s="18">
        <v>0.7361111111111112</v>
      </c>
      <c r="T106" s="20" t="s">
        <v>566</v>
      </c>
      <c r="U106" s="2" t="s">
        <v>1239</v>
      </c>
      <c r="V106" s="2" t="s">
        <v>1240</v>
      </c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>
      <c r="A107" s="8">
        <v>2016.0</v>
      </c>
      <c r="B107" s="8" t="s">
        <v>147</v>
      </c>
      <c r="C107" s="8">
        <v>19.0</v>
      </c>
      <c r="D107" s="2" t="s">
        <v>1241</v>
      </c>
      <c r="E107" s="2"/>
      <c r="F107" s="8">
        <v>112.0</v>
      </c>
      <c r="G107" s="2" t="s">
        <v>154</v>
      </c>
      <c r="H107" s="2" t="s">
        <v>1242</v>
      </c>
      <c r="I107" s="2" t="s">
        <v>1243</v>
      </c>
      <c r="J107" s="11">
        <v>73.0</v>
      </c>
      <c r="K107" s="8"/>
      <c r="L107" s="8"/>
      <c r="M107" s="14">
        <v>8.0</v>
      </c>
      <c r="N107" s="15">
        <v>0.47361111111111115</v>
      </c>
      <c r="O107" s="17" t="s">
        <v>1244</v>
      </c>
      <c r="P107" s="15">
        <v>0.53125</v>
      </c>
      <c r="Q107" s="15">
        <v>0.5923611111111111</v>
      </c>
      <c r="R107" s="15" t="s">
        <v>175</v>
      </c>
      <c r="S107" s="18">
        <v>0.75</v>
      </c>
      <c r="T107" s="20" t="s">
        <v>249</v>
      </c>
      <c r="U107" s="2" t="s">
        <v>367</v>
      </c>
      <c r="V107" s="2" t="s">
        <v>175</v>
      </c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8">
        <v>2016.0</v>
      </c>
      <c r="B108" s="8" t="s">
        <v>147</v>
      </c>
      <c r="C108" s="8">
        <v>19.0</v>
      </c>
      <c r="D108" s="2" t="s">
        <v>1245</v>
      </c>
      <c r="E108" s="2"/>
      <c r="F108" s="8">
        <v>113.0</v>
      </c>
      <c r="G108" s="2" t="s">
        <v>154</v>
      </c>
      <c r="H108" s="2" t="s">
        <v>1246</v>
      </c>
      <c r="I108" s="2" t="s">
        <v>1247</v>
      </c>
      <c r="J108" s="11">
        <v>96.7</v>
      </c>
      <c r="K108" s="8"/>
      <c r="L108" s="8"/>
      <c r="M108" s="14">
        <v>9.0</v>
      </c>
      <c r="N108" s="15">
        <v>0.4777777777777778</v>
      </c>
      <c r="O108" s="17" t="s">
        <v>596</v>
      </c>
      <c r="P108" s="15">
        <v>0.5333333333333333</v>
      </c>
      <c r="Q108" s="15">
        <v>0.5944444444444444</v>
      </c>
      <c r="R108" s="15" t="s">
        <v>175</v>
      </c>
      <c r="S108" s="18">
        <v>0.7520833333333333</v>
      </c>
      <c r="T108" s="20" t="s">
        <v>1248</v>
      </c>
      <c r="U108" s="2" t="s">
        <v>287</v>
      </c>
      <c r="V108" s="2" t="s">
        <v>175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8">
        <v>2016.0</v>
      </c>
      <c r="B109" s="8" t="s">
        <v>147</v>
      </c>
      <c r="C109" s="8">
        <v>19.0</v>
      </c>
      <c r="D109" s="2" t="s">
        <v>1250</v>
      </c>
      <c r="E109" s="2"/>
      <c r="F109" s="8">
        <v>114.0</v>
      </c>
      <c r="G109" s="2" t="s">
        <v>154</v>
      </c>
      <c r="H109" s="2" t="s">
        <v>1251</v>
      </c>
      <c r="I109" s="2" t="s">
        <v>1252</v>
      </c>
      <c r="J109" s="11">
        <v>82.6</v>
      </c>
      <c r="K109" s="8"/>
      <c r="L109" s="8"/>
      <c r="M109" s="14">
        <v>10.0</v>
      </c>
      <c r="N109" s="15">
        <v>0.48333333333333334</v>
      </c>
      <c r="O109" s="17" t="s">
        <v>1253</v>
      </c>
      <c r="P109" s="15">
        <v>0.5354166666666667</v>
      </c>
      <c r="Q109" s="15">
        <v>0.5965277777777778</v>
      </c>
      <c r="R109" s="15" t="s">
        <v>175</v>
      </c>
      <c r="S109" s="18">
        <v>0.7541666666666668</v>
      </c>
      <c r="T109" s="20" t="s">
        <v>1254</v>
      </c>
      <c r="U109" s="2" t="s">
        <v>287</v>
      </c>
      <c r="V109" s="2" t="s">
        <v>175</v>
      </c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>
      <c r="A110" s="8">
        <v>2016.0</v>
      </c>
      <c r="B110" s="8" t="s">
        <v>147</v>
      </c>
      <c r="C110" s="8">
        <v>20.0</v>
      </c>
      <c r="D110" s="2" t="s">
        <v>1255</v>
      </c>
      <c r="E110" s="2"/>
      <c r="F110" s="8">
        <v>115.0</v>
      </c>
      <c r="G110" s="2" t="s">
        <v>154</v>
      </c>
      <c r="H110" s="2" t="s">
        <v>1257</v>
      </c>
      <c r="I110" s="2" t="s">
        <v>1258</v>
      </c>
      <c r="J110" s="11">
        <v>74.6</v>
      </c>
      <c r="K110" s="8"/>
      <c r="L110" s="8"/>
      <c r="M110" s="14">
        <v>1.0</v>
      </c>
      <c r="N110" s="15">
        <v>0.2652777777777778</v>
      </c>
      <c r="O110" s="17" t="s">
        <v>1260</v>
      </c>
      <c r="P110" s="15">
        <v>0.3645833333333333</v>
      </c>
      <c r="Q110" s="15">
        <v>0.44930555555555557</v>
      </c>
      <c r="R110" s="15">
        <v>0.5375</v>
      </c>
      <c r="S110" s="18">
        <v>0.6583333333333333</v>
      </c>
      <c r="T110" s="20" t="s">
        <v>1262</v>
      </c>
      <c r="U110" s="2" t="s">
        <v>1263</v>
      </c>
      <c r="V110" s="2" t="s">
        <v>175</v>
      </c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>
      <c r="A111" s="8">
        <v>2016.0</v>
      </c>
      <c r="B111" s="8" t="s">
        <v>147</v>
      </c>
      <c r="C111" s="8">
        <v>20.0</v>
      </c>
      <c r="D111" s="2" t="s">
        <v>1264</v>
      </c>
      <c r="E111" s="2"/>
      <c r="F111" s="8">
        <v>116.0</v>
      </c>
      <c r="G111" s="2" t="s">
        <v>154</v>
      </c>
      <c r="H111" s="2" t="s">
        <v>1266</v>
      </c>
      <c r="I111" s="2" t="s">
        <v>1268</v>
      </c>
      <c r="J111" s="11">
        <v>74.1</v>
      </c>
      <c r="K111" s="8"/>
      <c r="L111" s="8"/>
      <c r="M111" s="14">
        <v>2.0</v>
      </c>
      <c r="N111" s="15">
        <v>0.26666666666666666</v>
      </c>
      <c r="O111" s="17" t="s">
        <v>1270</v>
      </c>
      <c r="P111" s="15">
        <v>0.3659722222222222</v>
      </c>
      <c r="Q111" s="15">
        <v>0.45069444444444445</v>
      </c>
      <c r="R111" s="15">
        <v>0.5388888888888889</v>
      </c>
      <c r="S111" s="18">
        <v>0.65625</v>
      </c>
      <c r="T111" s="20" t="s">
        <v>647</v>
      </c>
      <c r="U111" s="2" t="s">
        <v>367</v>
      </c>
      <c r="V111" s="2" t="s">
        <v>175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>
      <c r="A112" s="8">
        <v>2016.0</v>
      </c>
      <c r="B112" s="8" t="s">
        <v>147</v>
      </c>
      <c r="C112" s="8">
        <v>20.0</v>
      </c>
      <c r="D112" s="2" t="s">
        <v>1272</v>
      </c>
      <c r="E112" s="2"/>
      <c r="F112" s="8">
        <v>117.0</v>
      </c>
      <c r="G112" s="2" t="s">
        <v>154</v>
      </c>
      <c r="H112" s="2" t="s">
        <v>1273</v>
      </c>
      <c r="I112" s="2" t="s">
        <v>1274</v>
      </c>
      <c r="J112" s="11">
        <v>73.5</v>
      </c>
      <c r="K112" s="8"/>
      <c r="L112" s="8"/>
      <c r="M112" s="14">
        <v>3.0</v>
      </c>
      <c r="N112" s="15">
        <v>0.27291666666666664</v>
      </c>
      <c r="O112" s="17" t="s">
        <v>1276</v>
      </c>
      <c r="P112" s="15">
        <v>0.3680555555555556</v>
      </c>
      <c r="Q112" s="15">
        <v>0.4527777777777778</v>
      </c>
      <c r="R112" s="15">
        <v>0.5402777777777777</v>
      </c>
      <c r="S112" s="18">
        <v>0.6541666666666667</v>
      </c>
      <c r="T112" s="20" t="s">
        <v>642</v>
      </c>
      <c r="U112" s="2" t="s">
        <v>1277</v>
      </c>
      <c r="V112" s="2" t="s">
        <v>175</v>
      </c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>
      <c r="A113" s="8">
        <v>2016.0</v>
      </c>
      <c r="B113" s="8" t="s">
        <v>147</v>
      </c>
      <c r="C113" s="8">
        <v>20.0</v>
      </c>
      <c r="D113" s="2" t="s">
        <v>1279</v>
      </c>
      <c r="E113" s="2"/>
      <c r="F113" s="8">
        <v>118.0</v>
      </c>
      <c r="G113" s="2" t="s">
        <v>154</v>
      </c>
      <c r="H113" s="2" t="s">
        <v>1280</v>
      </c>
      <c r="I113" s="2" t="s">
        <v>1281</v>
      </c>
      <c r="J113" s="11">
        <v>72.5</v>
      </c>
      <c r="K113" s="8"/>
      <c r="L113" s="8"/>
      <c r="M113" s="14">
        <v>4.0</v>
      </c>
      <c r="N113" s="15">
        <v>0.27638888888888885</v>
      </c>
      <c r="O113" s="17" t="s">
        <v>1283</v>
      </c>
      <c r="P113" s="15">
        <v>0.36944444444444446</v>
      </c>
      <c r="Q113" s="15">
        <v>0.45416666666666666</v>
      </c>
      <c r="R113" s="15">
        <v>0.5416666666666666</v>
      </c>
      <c r="S113" s="18">
        <v>0.6513888888888889</v>
      </c>
      <c r="T113" s="20" t="s">
        <v>940</v>
      </c>
      <c r="U113" s="2" t="s">
        <v>1277</v>
      </c>
      <c r="V113" s="2" t="s">
        <v>175</v>
      </c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>
      <c r="A114" s="8">
        <v>2016.0</v>
      </c>
      <c r="B114" s="8" t="s">
        <v>147</v>
      </c>
      <c r="C114" s="8">
        <v>20.0</v>
      </c>
      <c r="D114" s="2" t="s">
        <v>1284</v>
      </c>
      <c r="E114" s="2"/>
      <c r="F114" s="8">
        <v>119.0</v>
      </c>
      <c r="G114" s="2" t="s">
        <v>154</v>
      </c>
      <c r="H114" s="2" t="s">
        <v>1285</v>
      </c>
      <c r="I114" s="2" t="s">
        <v>1287</v>
      </c>
      <c r="J114" s="11">
        <v>72.1</v>
      </c>
      <c r="K114" s="8"/>
      <c r="L114" s="8"/>
      <c r="M114" s="14">
        <v>5.0</v>
      </c>
      <c r="N114" s="15">
        <v>0.2791666666666667</v>
      </c>
      <c r="O114" s="17" t="s">
        <v>1292</v>
      </c>
      <c r="P114" s="15">
        <v>0.37083333333333335</v>
      </c>
      <c r="Q114" s="15">
        <v>0.45555555555555555</v>
      </c>
      <c r="R114" s="15">
        <v>0.5423611111111112</v>
      </c>
      <c r="S114" s="18">
        <v>0.6493055555555556</v>
      </c>
      <c r="T114" s="20" t="s">
        <v>630</v>
      </c>
      <c r="U114" s="2" t="s">
        <v>1293</v>
      </c>
      <c r="V114" s="2" t="s">
        <v>175</v>
      </c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>
      <c r="A115" s="8">
        <v>2016.0</v>
      </c>
      <c r="B115" s="8" t="s">
        <v>147</v>
      </c>
      <c r="C115" s="8">
        <v>20.0</v>
      </c>
      <c r="D115" s="2" t="s">
        <v>1296</v>
      </c>
      <c r="E115" s="2"/>
      <c r="F115" s="8">
        <v>120.0</v>
      </c>
      <c r="G115" s="2" t="s">
        <v>154</v>
      </c>
      <c r="H115" s="2" t="s">
        <v>1298</v>
      </c>
      <c r="I115" s="2" t="s">
        <v>1299</v>
      </c>
      <c r="J115" s="11">
        <v>76.1</v>
      </c>
      <c r="K115" s="8"/>
      <c r="L115" s="8"/>
      <c r="M115" s="14">
        <v>6.0</v>
      </c>
      <c r="N115" s="15">
        <v>0.2826388888888889</v>
      </c>
      <c r="O115" s="17" t="s">
        <v>937</v>
      </c>
      <c r="P115" s="15">
        <v>0.3729166666666666</v>
      </c>
      <c r="Q115" s="15">
        <v>0.4576388888888889</v>
      </c>
      <c r="R115" s="15">
        <v>0.5437500000000001</v>
      </c>
      <c r="S115" s="18">
        <v>0.6458333333333334</v>
      </c>
      <c r="T115" s="20" t="s">
        <v>1301</v>
      </c>
      <c r="U115" s="2" t="s">
        <v>1277</v>
      </c>
      <c r="V115" s="2" t="s">
        <v>175</v>
      </c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>
      <c r="A116" s="8">
        <v>2016.0</v>
      </c>
      <c r="B116" s="8" t="s">
        <v>147</v>
      </c>
      <c r="C116" s="8">
        <v>20.0</v>
      </c>
      <c r="D116" s="2" t="s">
        <v>1303</v>
      </c>
      <c r="E116" s="2"/>
      <c r="F116" s="8">
        <v>121.0</v>
      </c>
      <c r="G116" s="2" t="s">
        <v>154</v>
      </c>
      <c r="H116" s="2" t="s">
        <v>1305</v>
      </c>
      <c r="I116" s="2" t="s">
        <v>1306</v>
      </c>
      <c r="J116" s="11">
        <v>67.9</v>
      </c>
      <c r="K116" s="8"/>
      <c r="L116" s="8"/>
      <c r="M116" s="14">
        <v>7.0</v>
      </c>
      <c r="N116" s="15">
        <v>0.28541666666666665</v>
      </c>
      <c r="O116" s="17" t="s">
        <v>1307</v>
      </c>
      <c r="P116" s="15">
        <v>0.375</v>
      </c>
      <c r="Q116" s="15">
        <v>0.4590277777777778</v>
      </c>
      <c r="R116" s="15">
        <v>0.5458333333333333</v>
      </c>
      <c r="S116" s="18">
        <v>0.6437499999999999</v>
      </c>
      <c r="T116" s="20" t="s">
        <v>1309</v>
      </c>
      <c r="U116" s="2" t="s">
        <v>1310</v>
      </c>
      <c r="V116" s="2" t="s">
        <v>175</v>
      </c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>
      <c r="A117" s="8">
        <v>2016.0</v>
      </c>
      <c r="B117" s="8" t="s">
        <v>147</v>
      </c>
      <c r="C117" s="8">
        <v>20.0</v>
      </c>
      <c r="D117" s="2" t="s">
        <v>902</v>
      </c>
      <c r="E117" s="2"/>
      <c r="F117" s="8">
        <v>122.0</v>
      </c>
      <c r="G117" s="2" t="s">
        <v>154</v>
      </c>
      <c r="H117" s="2" t="s">
        <v>900</v>
      </c>
      <c r="I117" s="2" t="s">
        <v>901</v>
      </c>
      <c r="J117" s="11">
        <v>76.1</v>
      </c>
      <c r="K117" s="8"/>
      <c r="L117" s="8"/>
      <c r="M117" s="14">
        <v>8.0</v>
      </c>
      <c r="N117" s="15">
        <v>0.2888888888888889</v>
      </c>
      <c r="O117" s="17" t="s">
        <v>1313</v>
      </c>
      <c r="P117" s="15">
        <v>0.3770833333333334</v>
      </c>
      <c r="Q117" s="15">
        <v>0.4611111111111111</v>
      </c>
      <c r="R117" s="15">
        <v>0.5472222222222222</v>
      </c>
      <c r="S117" s="18">
        <v>0.6409722222222222</v>
      </c>
      <c r="T117" s="20" t="s">
        <v>1314</v>
      </c>
      <c r="U117" s="2" t="s">
        <v>1263</v>
      </c>
      <c r="V117" s="2" t="s">
        <v>1315</v>
      </c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>
      <c r="A118" s="8">
        <v>2016.0</v>
      </c>
      <c r="B118" s="8" t="s">
        <v>147</v>
      </c>
      <c r="C118" s="8">
        <v>20.0</v>
      </c>
      <c r="D118" s="2" t="s">
        <v>1317</v>
      </c>
      <c r="E118" s="2"/>
      <c r="F118" s="8">
        <v>123.0</v>
      </c>
      <c r="G118" s="2" t="s">
        <v>154</v>
      </c>
      <c r="H118" s="2" t="s">
        <v>1318</v>
      </c>
      <c r="I118" s="2" t="s">
        <v>1319</v>
      </c>
      <c r="J118" s="11">
        <v>97.8</v>
      </c>
      <c r="K118" s="8"/>
      <c r="L118" s="8"/>
      <c r="M118" s="14">
        <v>9.0</v>
      </c>
      <c r="N118" s="15">
        <v>0.2916666666666667</v>
      </c>
      <c r="O118" s="17" t="s">
        <v>1321</v>
      </c>
      <c r="P118" s="15">
        <v>0.37916666666666665</v>
      </c>
      <c r="Q118" s="15">
        <v>0.46319444444444446</v>
      </c>
      <c r="R118" s="15">
        <v>0.548611111111111</v>
      </c>
      <c r="S118" s="18">
        <v>0.6381944444444444</v>
      </c>
      <c r="T118" s="20" t="s">
        <v>1322</v>
      </c>
      <c r="U118" s="2" t="s">
        <v>1323</v>
      </c>
      <c r="V118" s="2" t="s">
        <v>175</v>
      </c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>
      <c r="A119" s="8">
        <v>2016.0</v>
      </c>
      <c r="B119" s="8" t="s">
        <v>147</v>
      </c>
      <c r="C119" s="8">
        <v>20.0</v>
      </c>
      <c r="D119" s="2" t="s">
        <v>1326</v>
      </c>
      <c r="E119" s="2"/>
      <c r="F119" s="8">
        <v>124.0</v>
      </c>
      <c r="G119" s="2" t="s">
        <v>154</v>
      </c>
      <c r="H119" s="2" t="s">
        <v>1327</v>
      </c>
      <c r="I119" s="2" t="s">
        <v>1328</v>
      </c>
      <c r="J119" s="11">
        <v>100.2</v>
      </c>
      <c r="K119" s="8"/>
      <c r="L119" s="8"/>
      <c r="M119" s="14">
        <v>10.0</v>
      </c>
      <c r="N119" s="15">
        <v>0.29444444444444445</v>
      </c>
      <c r="O119" s="17" t="s">
        <v>1329</v>
      </c>
      <c r="P119" s="15">
        <v>0.3819444444444444</v>
      </c>
      <c r="Q119" s="15">
        <v>0.47222222222222227</v>
      </c>
      <c r="R119" s="15">
        <v>0.5493055555555556</v>
      </c>
      <c r="S119" s="18">
        <v>0.6347222222222222</v>
      </c>
      <c r="T119" s="20" t="s">
        <v>1330</v>
      </c>
      <c r="U119" s="2" t="s">
        <v>1331</v>
      </c>
      <c r="V119" s="2" t="s">
        <v>175</v>
      </c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>
      <c r="A120" s="8">
        <v>2016.0</v>
      </c>
      <c r="B120" s="8" t="s">
        <v>147</v>
      </c>
      <c r="C120" s="8">
        <v>20.0</v>
      </c>
      <c r="D120" s="2" t="s">
        <v>908</v>
      </c>
      <c r="E120" s="2"/>
      <c r="F120" s="8">
        <v>125.0</v>
      </c>
      <c r="G120" s="2" t="s">
        <v>154</v>
      </c>
      <c r="H120" s="2" t="s">
        <v>906</v>
      </c>
      <c r="I120" s="2" t="s">
        <v>907</v>
      </c>
      <c r="J120" s="11">
        <v>74.0</v>
      </c>
      <c r="K120" s="8"/>
      <c r="L120" s="8"/>
      <c r="M120" s="14">
        <v>11.0</v>
      </c>
      <c r="N120" s="15">
        <v>0.4861111111111111</v>
      </c>
      <c r="O120" s="17" t="s">
        <v>614</v>
      </c>
      <c r="P120" s="15">
        <v>0.55625</v>
      </c>
      <c r="Q120" s="15" t="s">
        <v>175</v>
      </c>
      <c r="R120" s="15" t="s">
        <v>175</v>
      </c>
      <c r="S120" s="18">
        <v>0.6618055555555555</v>
      </c>
      <c r="T120" s="20" t="s">
        <v>667</v>
      </c>
      <c r="U120" s="2" t="s">
        <v>459</v>
      </c>
      <c r="V120" s="2" t="s">
        <v>1335</v>
      </c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>
      <c r="A121" s="8">
        <v>2016.0</v>
      </c>
      <c r="B121" s="8" t="s">
        <v>147</v>
      </c>
      <c r="C121" s="8">
        <v>21.0</v>
      </c>
      <c r="D121" s="2" t="s">
        <v>1336</v>
      </c>
      <c r="E121" s="2"/>
      <c r="F121" s="8">
        <v>127.0</v>
      </c>
      <c r="G121" s="2" t="s">
        <v>154</v>
      </c>
      <c r="H121" s="2" t="s">
        <v>1338</v>
      </c>
      <c r="I121" s="2" t="s">
        <v>1339</v>
      </c>
      <c r="J121" s="11">
        <v>83.0</v>
      </c>
      <c r="K121" s="8"/>
      <c r="L121" s="8"/>
      <c r="M121" s="14">
        <v>1.0</v>
      </c>
      <c r="N121" s="15">
        <v>0.28402777777777777</v>
      </c>
      <c r="O121" s="17" t="s">
        <v>1340</v>
      </c>
      <c r="P121" s="15">
        <v>0.375</v>
      </c>
      <c r="Q121" s="15">
        <v>0.4666666666666666</v>
      </c>
      <c r="R121" s="15">
        <v>0.5625</v>
      </c>
      <c r="S121" s="18">
        <v>0.6444444444444445</v>
      </c>
      <c r="T121" s="20" t="s">
        <v>481</v>
      </c>
      <c r="U121" s="2" t="s">
        <v>1341</v>
      </c>
      <c r="V121" s="2" t="s">
        <v>175</v>
      </c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>
      <c r="A122" s="8">
        <v>2016.0</v>
      </c>
      <c r="B122" s="8" t="s">
        <v>147</v>
      </c>
      <c r="C122" s="8">
        <v>21.0</v>
      </c>
      <c r="D122" s="2" t="s">
        <v>911</v>
      </c>
      <c r="E122" s="2"/>
      <c r="F122" s="8">
        <v>128.0</v>
      </c>
      <c r="G122" s="2" t="s">
        <v>154</v>
      </c>
      <c r="H122" s="2" t="s">
        <v>909</v>
      </c>
      <c r="I122" s="2" t="s">
        <v>910</v>
      </c>
      <c r="J122" s="11">
        <v>86.0</v>
      </c>
      <c r="K122" s="8"/>
      <c r="L122" s="8"/>
      <c r="M122" s="14">
        <v>2.0</v>
      </c>
      <c r="N122" s="15">
        <v>0.28750000000000003</v>
      </c>
      <c r="O122" s="17" t="s">
        <v>1345</v>
      </c>
      <c r="P122" s="15">
        <v>0.3770833333333334</v>
      </c>
      <c r="Q122" s="15">
        <v>0.46875</v>
      </c>
      <c r="R122" s="15">
        <v>0.5659722222222222</v>
      </c>
      <c r="S122" s="18">
        <v>0.6472222222222223</v>
      </c>
      <c r="T122" s="20" t="s">
        <v>1347</v>
      </c>
      <c r="U122" s="2" t="s">
        <v>1341</v>
      </c>
      <c r="V122" s="2" t="s">
        <v>1348</v>
      </c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>
      <c r="A123" s="8">
        <v>2016.0</v>
      </c>
      <c r="B123" s="8" t="s">
        <v>147</v>
      </c>
      <c r="C123" s="8">
        <v>21.0</v>
      </c>
      <c r="D123" s="2" t="s">
        <v>1350</v>
      </c>
      <c r="E123" s="2"/>
      <c r="F123" s="8">
        <v>129.0</v>
      </c>
      <c r="G123" s="2" t="s">
        <v>154</v>
      </c>
      <c r="H123" s="2" t="s">
        <v>1351</v>
      </c>
      <c r="I123" s="2" t="s">
        <v>1352</v>
      </c>
      <c r="J123" s="11">
        <v>77.0</v>
      </c>
      <c r="K123" s="8"/>
      <c r="L123" s="8"/>
      <c r="M123" s="14">
        <v>3.0</v>
      </c>
      <c r="N123" s="15">
        <v>0.29097222222222224</v>
      </c>
      <c r="O123" s="17" t="s">
        <v>1355</v>
      </c>
      <c r="P123" s="15">
        <v>0.39166666666666666</v>
      </c>
      <c r="Q123" s="15">
        <v>0.47152777777777777</v>
      </c>
      <c r="R123" s="15">
        <v>0.5694444444444444</v>
      </c>
      <c r="S123" s="18">
        <v>0.6493055555555556</v>
      </c>
      <c r="T123" s="20" t="s">
        <v>630</v>
      </c>
      <c r="U123" s="2" t="s">
        <v>1356</v>
      </c>
      <c r="V123" s="2" t="s">
        <v>175</v>
      </c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>
      <c r="A124" s="8">
        <v>2016.0</v>
      </c>
      <c r="B124" s="8" t="s">
        <v>147</v>
      </c>
      <c r="C124" s="8">
        <v>21.0</v>
      </c>
      <c r="D124" s="2" t="s">
        <v>1357</v>
      </c>
      <c r="E124" s="2"/>
      <c r="F124" s="8">
        <v>130.0</v>
      </c>
      <c r="G124" s="2" t="s">
        <v>154</v>
      </c>
      <c r="H124" s="2" t="s">
        <v>1358</v>
      </c>
      <c r="I124" s="2" t="s">
        <v>1359</v>
      </c>
      <c r="J124" s="11">
        <v>83.0</v>
      </c>
      <c r="K124" s="8"/>
      <c r="L124" s="8"/>
      <c r="M124" s="14">
        <v>4.0</v>
      </c>
      <c r="N124" s="15">
        <v>0.29375</v>
      </c>
      <c r="O124" s="17" t="s">
        <v>1360</v>
      </c>
      <c r="P124" s="15">
        <v>0.39305555555555555</v>
      </c>
      <c r="Q124" s="15">
        <v>0.47430555555555554</v>
      </c>
      <c r="R124" s="15">
        <v>0.5729166666666666</v>
      </c>
      <c r="S124" s="18">
        <v>0.6513888888888889</v>
      </c>
      <c r="T124" s="20" t="s">
        <v>940</v>
      </c>
      <c r="U124" s="2" t="s">
        <v>1356</v>
      </c>
      <c r="V124" s="2" t="s">
        <v>175</v>
      </c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>
      <c r="A125" s="8">
        <v>2016.0</v>
      </c>
      <c r="B125" s="8" t="s">
        <v>147</v>
      </c>
      <c r="C125" s="8">
        <v>21.0</v>
      </c>
      <c r="D125" s="2" t="s">
        <v>1361</v>
      </c>
      <c r="E125" s="2"/>
      <c r="F125" s="8">
        <v>131.0</v>
      </c>
      <c r="G125" s="2" t="s">
        <v>154</v>
      </c>
      <c r="H125" s="2" t="s">
        <v>1362</v>
      </c>
      <c r="I125" s="2" t="s">
        <v>1363</v>
      </c>
      <c r="J125" s="11">
        <v>85.0</v>
      </c>
      <c r="K125" s="8"/>
      <c r="L125" s="8"/>
      <c r="M125" s="14">
        <v>5.0</v>
      </c>
      <c r="N125" s="15">
        <v>0.2965277777777778</v>
      </c>
      <c r="O125" s="17" t="s">
        <v>1365</v>
      </c>
      <c r="P125" s="15">
        <v>0.3951388888888889</v>
      </c>
      <c r="Q125" s="15">
        <v>0.4756944444444444</v>
      </c>
      <c r="R125" s="15">
        <v>0.6166666666666667</v>
      </c>
      <c r="S125" s="18">
        <v>0.6527777777777778</v>
      </c>
      <c r="T125" s="20" t="s">
        <v>706</v>
      </c>
      <c r="U125" s="2" t="s">
        <v>1366</v>
      </c>
      <c r="V125" s="2" t="s">
        <v>175</v>
      </c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>
      <c r="A126" s="8">
        <v>2016.0</v>
      </c>
      <c r="B126" s="8" t="s">
        <v>147</v>
      </c>
      <c r="C126" s="8">
        <v>21.0</v>
      </c>
      <c r="D126" s="2" t="s">
        <v>1368</v>
      </c>
      <c r="E126" s="2"/>
      <c r="F126" s="8">
        <v>132.0</v>
      </c>
      <c r="G126" s="2" t="s">
        <v>154</v>
      </c>
      <c r="H126" s="2" t="s">
        <v>1370</v>
      </c>
      <c r="I126" s="2" t="s">
        <v>1371</v>
      </c>
      <c r="J126" s="11">
        <v>85.0</v>
      </c>
      <c r="K126" s="8"/>
      <c r="L126" s="8"/>
      <c r="M126" s="14">
        <v>6.0</v>
      </c>
      <c r="N126" s="15">
        <v>0.29930555555555555</v>
      </c>
      <c r="O126" s="17" t="s">
        <v>1372</v>
      </c>
      <c r="P126" s="15">
        <v>0.3972222222222222</v>
      </c>
      <c r="Q126" s="15">
        <v>0.4777777777777778</v>
      </c>
      <c r="R126" s="15">
        <v>0.5777777777777778</v>
      </c>
      <c r="S126" s="18">
        <v>0.6555555555555556</v>
      </c>
      <c r="T126" s="20" t="s">
        <v>692</v>
      </c>
      <c r="U126" s="2" t="s">
        <v>1374</v>
      </c>
      <c r="V126" s="2" t="s">
        <v>175</v>
      </c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>
      <c r="A127" s="8">
        <v>2016.0</v>
      </c>
      <c r="B127" s="8" t="s">
        <v>147</v>
      </c>
      <c r="C127" s="8">
        <v>21.0</v>
      </c>
      <c r="D127" s="2" t="s">
        <v>1375</v>
      </c>
      <c r="E127" s="2"/>
      <c r="F127" s="8">
        <v>133.0</v>
      </c>
      <c r="G127" s="2" t="s">
        <v>154</v>
      </c>
      <c r="H127" s="2" t="s">
        <v>1378</v>
      </c>
      <c r="I127" s="2" t="s">
        <v>1379</v>
      </c>
      <c r="J127" s="11">
        <v>83.0</v>
      </c>
      <c r="K127" s="8"/>
      <c r="L127" s="8"/>
      <c r="M127" s="14">
        <v>7.0</v>
      </c>
      <c r="N127" s="15">
        <v>0.3020833333333333</v>
      </c>
      <c r="O127" s="17" t="s">
        <v>1380</v>
      </c>
      <c r="P127" s="15">
        <v>0.3993055555555556</v>
      </c>
      <c r="Q127" s="15">
        <v>0.48055555555555557</v>
      </c>
      <c r="R127" s="15">
        <v>0.5791666666666667</v>
      </c>
      <c r="S127" s="18">
        <v>0.6576388888888889</v>
      </c>
      <c r="T127" s="20" t="s">
        <v>655</v>
      </c>
      <c r="U127" s="2" t="s">
        <v>1381</v>
      </c>
      <c r="V127" s="2" t="s">
        <v>175</v>
      </c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>
      <c r="A128" s="8">
        <v>2016.0</v>
      </c>
      <c r="B128" s="8" t="s">
        <v>147</v>
      </c>
      <c r="C128" s="8">
        <v>21.0</v>
      </c>
      <c r="D128" s="2" t="s">
        <v>916</v>
      </c>
      <c r="E128" s="2"/>
      <c r="F128" s="8">
        <v>134.0</v>
      </c>
      <c r="G128" s="2" t="s">
        <v>154</v>
      </c>
      <c r="H128" s="2" t="s">
        <v>914</v>
      </c>
      <c r="I128" s="2" t="s">
        <v>915</v>
      </c>
      <c r="J128" s="11">
        <v>87.0</v>
      </c>
      <c r="K128" s="8"/>
      <c r="L128" s="8"/>
      <c r="M128" s="14">
        <v>8.0</v>
      </c>
      <c r="N128" s="15">
        <v>0.30624999999999997</v>
      </c>
      <c r="O128" s="17" t="s">
        <v>1384</v>
      </c>
      <c r="P128" s="15">
        <v>0.40138888888888885</v>
      </c>
      <c r="Q128" s="15">
        <v>0.4826388888888889</v>
      </c>
      <c r="R128" s="15">
        <v>0.5805555555555556</v>
      </c>
      <c r="S128" s="18">
        <v>0.6604166666666667</v>
      </c>
      <c r="T128" s="20" t="s">
        <v>808</v>
      </c>
      <c r="U128" s="2" t="s">
        <v>1385</v>
      </c>
      <c r="V128" s="2" t="s">
        <v>1386</v>
      </c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>
      <c r="A129" s="8">
        <v>2016.0</v>
      </c>
      <c r="B129" s="8" t="s">
        <v>147</v>
      </c>
      <c r="C129" s="8">
        <v>21.0</v>
      </c>
      <c r="D129" s="2" t="s">
        <v>1389</v>
      </c>
      <c r="E129" s="2"/>
      <c r="F129" s="8">
        <v>135.0</v>
      </c>
      <c r="G129" s="2" t="s">
        <v>154</v>
      </c>
      <c r="H129" s="2" t="s">
        <v>1390</v>
      </c>
      <c r="I129" s="2" t="s">
        <v>1391</v>
      </c>
      <c r="J129" s="11">
        <v>96.0</v>
      </c>
      <c r="K129" s="8"/>
      <c r="L129" s="8"/>
      <c r="M129" s="14">
        <v>9.0</v>
      </c>
      <c r="N129" s="15">
        <v>0.3104166666666667</v>
      </c>
      <c r="O129" s="17" t="s">
        <v>1392</v>
      </c>
      <c r="P129" s="15">
        <v>0.40347222222222223</v>
      </c>
      <c r="Q129" s="15">
        <v>0.4847222222222222</v>
      </c>
      <c r="R129" s="15">
        <v>0.5902777777777778</v>
      </c>
      <c r="S129" s="18">
        <v>0.6625</v>
      </c>
      <c r="T129" s="20" t="s">
        <v>814</v>
      </c>
      <c r="U129" s="2" t="s">
        <v>1396</v>
      </c>
      <c r="V129" s="2" t="s">
        <v>175</v>
      </c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>
      <c r="A130" s="8">
        <v>2016.0</v>
      </c>
      <c r="B130" s="8" t="s">
        <v>147</v>
      </c>
      <c r="C130" s="8">
        <v>21.0</v>
      </c>
      <c r="D130" s="2" t="s">
        <v>1399</v>
      </c>
      <c r="E130" s="2"/>
      <c r="F130" s="8">
        <v>136.0</v>
      </c>
      <c r="G130" s="2" t="s">
        <v>154</v>
      </c>
      <c r="H130" s="2" t="s">
        <v>1400</v>
      </c>
      <c r="I130" s="2" t="s">
        <v>1401</v>
      </c>
      <c r="J130" s="11">
        <v>95.0</v>
      </c>
      <c r="K130" s="8"/>
      <c r="L130" s="8"/>
      <c r="M130" s="14">
        <v>10.0</v>
      </c>
      <c r="N130" s="15">
        <v>0.3145833333333333</v>
      </c>
      <c r="O130" s="17" t="s">
        <v>1403</v>
      </c>
      <c r="P130" s="15">
        <v>0.40625</v>
      </c>
      <c r="Q130" s="15">
        <v>0.4875</v>
      </c>
      <c r="R130" s="15">
        <v>0.59375</v>
      </c>
      <c r="S130" s="18">
        <v>0.6638888888888889</v>
      </c>
      <c r="T130" s="20" t="s">
        <v>1404</v>
      </c>
      <c r="U130" s="2" t="s">
        <v>1405</v>
      </c>
      <c r="V130" s="2" t="s">
        <v>175</v>
      </c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>
      <c r="A131" s="8">
        <v>2016.0</v>
      </c>
      <c r="B131" s="8" t="s">
        <v>400</v>
      </c>
      <c r="C131" s="8">
        <v>25.0</v>
      </c>
      <c r="D131" s="2" t="s">
        <v>150</v>
      </c>
      <c r="E131" s="2"/>
      <c r="F131" s="8">
        <v>306.0</v>
      </c>
      <c r="G131" s="2" t="s">
        <v>154</v>
      </c>
      <c r="H131" s="2" t="s">
        <v>1408</v>
      </c>
      <c r="I131" s="2" t="s">
        <v>1430</v>
      </c>
      <c r="J131" s="11">
        <v>51.4</v>
      </c>
      <c r="K131" s="8"/>
      <c r="L131" s="8"/>
      <c r="M131" s="14">
        <v>1.0</v>
      </c>
      <c r="N131" s="15">
        <v>0.5104166666666666</v>
      </c>
      <c r="O131" s="17" t="s">
        <v>1432</v>
      </c>
      <c r="P131" s="15">
        <v>0.5659722222222222</v>
      </c>
      <c r="Q131" s="15">
        <v>0.607638888888889</v>
      </c>
      <c r="R131" s="15">
        <v>0.6687500000000001</v>
      </c>
      <c r="S131" s="18">
        <v>0.7048611111111112</v>
      </c>
      <c r="T131" s="20" t="s">
        <v>1433</v>
      </c>
      <c r="U131" s="2" t="s">
        <v>287</v>
      </c>
      <c r="V131" s="2" t="s">
        <v>175</v>
      </c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>
      <c r="A132" s="8">
        <v>2016.0</v>
      </c>
      <c r="B132" s="8" t="s">
        <v>400</v>
      </c>
      <c r="C132" s="8">
        <v>25.0</v>
      </c>
      <c r="D132" s="2" t="s">
        <v>150</v>
      </c>
      <c r="E132" s="2"/>
      <c r="F132" s="8">
        <v>307.0</v>
      </c>
      <c r="G132" s="2" t="s">
        <v>154</v>
      </c>
      <c r="H132" s="2" t="s">
        <v>1442</v>
      </c>
      <c r="I132" s="2" t="s">
        <v>1443</v>
      </c>
      <c r="J132" s="11">
        <v>59.3</v>
      </c>
      <c r="K132" s="8"/>
      <c r="L132" s="8"/>
      <c r="M132" s="14">
        <v>2.0</v>
      </c>
      <c r="N132" s="15">
        <v>0.5125000000000001</v>
      </c>
      <c r="O132" s="17" t="s">
        <v>1092</v>
      </c>
      <c r="P132" s="15">
        <v>0.5680555555555555</v>
      </c>
      <c r="Q132" s="15">
        <v>0.611111111111111</v>
      </c>
      <c r="R132" s="15">
        <v>0.6722222222222222</v>
      </c>
      <c r="S132" s="18">
        <v>0.7069444444444444</v>
      </c>
      <c r="T132" s="20" t="s">
        <v>1450</v>
      </c>
      <c r="U132" s="2" t="s">
        <v>267</v>
      </c>
      <c r="V132" s="2" t="s">
        <v>175</v>
      </c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>
      <c r="A133" s="8">
        <v>2016.0</v>
      </c>
      <c r="B133" s="8" t="s">
        <v>400</v>
      </c>
      <c r="C133" s="8">
        <v>25.0</v>
      </c>
      <c r="D133" s="2" t="s">
        <v>150</v>
      </c>
      <c r="E133" s="2"/>
      <c r="F133" s="8">
        <v>308.0</v>
      </c>
      <c r="G133" s="2" t="s">
        <v>154</v>
      </c>
      <c r="H133" s="2" t="s">
        <v>1455</v>
      </c>
      <c r="I133" s="2" t="s">
        <v>1456</v>
      </c>
      <c r="J133" s="11">
        <v>70.0</v>
      </c>
      <c r="K133" s="8"/>
      <c r="L133" s="8"/>
      <c r="M133" s="14">
        <v>3.0</v>
      </c>
      <c r="N133" s="15">
        <v>0.5152777777777778</v>
      </c>
      <c r="O133" s="17" t="s">
        <v>1115</v>
      </c>
      <c r="P133" s="15">
        <v>0.5701388888888889</v>
      </c>
      <c r="Q133" s="15">
        <v>0.6131944444444445</v>
      </c>
      <c r="R133" s="15" t="s">
        <v>175</v>
      </c>
      <c r="S133" s="18">
        <v>0.6749999999999999</v>
      </c>
      <c r="T133" s="20" t="s">
        <v>1458</v>
      </c>
      <c r="U133" s="2" t="s">
        <v>309</v>
      </c>
      <c r="V133" s="2" t="s">
        <v>175</v>
      </c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>
      <c r="A134" s="8">
        <v>2016.0</v>
      </c>
      <c r="B134" s="8" t="s">
        <v>400</v>
      </c>
      <c r="C134" s="8">
        <v>25.0</v>
      </c>
      <c r="D134" s="2" t="s">
        <v>150</v>
      </c>
      <c r="E134" s="2"/>
      <c r="F134" s="8">
        <v>310.0</v>
      </c>
      <c r="G134" s="2" t="s">
        <v>154</v>
      </c>
      <c r="H134" s="2" t="s">
        <v>1464</v>
      </c>
      <c r="I134" s="2" t="s">
        <v>1465</v>
      </c>
      <c r="J134" s="11">
        <v>84.6</v>
      </c>
      <c r="K134" s="8"/>
      <c r="L134" s="8"/>
      <c r="M134" s="14">
        <v>4.0</v>
      </c>
      <c r="N134" s="15">
        <v>0.517361111111111</v>
      </c>
      <c r="O134" s="17" t="s">
        <v>1466</v>
      </c>
      <c r="P134" s="15">
        <v>0.5722222222222222</v>
      </c>
      <c r="Q134" s="15">
        <v>0.6152777777777778</v>
      </c>
      <c r="R134" s="15" t="s">
        <v>175</v>
      </c>
      <c r="S134" s="18">
        <v>0.6770833333333334</v>
      </c>
      <c r="T134" s="20" t="s">
        <v>1467</v>
      </c>
      <c r="U134" s="2" t="s">
        <v>309</v>
      </c>
      <c r="V134" s="2" t="s">
        <v>175</v>
      </c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>
      <c r="A135" s="8">
        <v>2016.0</v>
      </c>
      <c r="B135" s="8" t="s">
        <v>400</v>
      </c>
      <c r="C135" s="8">
        <v>25.0</v>
      </c>
      <c r="D135" s="2" t="s">
        <v>244</v>
      </c>
      <c r="E135" s="2"/>
      <c r="F135" s="8">
        <v>311.0</v>
      </c>
      <c r="G135" s="2" t="s">
        <v>154</v>
      </c>
      <c r="H135" s="2" t="s">
        <v>1468</v>
      </c>
      <c r="I135" s="2" t="s">
        <v>1469</v>
      </c>
      <c r="J135" s="11">
        <v>69.0</v>
      </c>
      <c r="K135" s="8"/>
      <c r="L135" s="8"/>
      <c r="M135" s="14">
        <v>5.0</v>
      </c>
      <c r="N135" s="15">
        <v>0.5215277777777778</v>
      </c>
      <c r="O135" s="17" t="s">
        <v>1470</v>
      </c>
      <c r="P135" s="15">
        <v>0.5750000000000001</v>
      </c>
      <c r="Q135" s="15" t="s">
        <v>175</v>
      </c>
      <c r="R135" s="15" t="s">
        <v>175</v>
      </c>
      <c r="S135" s="18">
        <v>0.6180555555555556</v>
      </c>
      <c r="T135" s="20" t="s">
        <v>1472</v>
      </c>
      <c r="U135" s="2" t="s">
        <v>309</v>
      </c>
      <c r="V135" s="2" t="s">
        <v>175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>
      <c r="A136" s="8">
        <v>2016.0</v>
      </c>
      <c r="B136" s="8" t="s">
        <v>400</v>
      </c>
      <c r="C136" s="8">
        <v>25.0</v>
      </c>
      <c r="D136" s="2" t="s">
        <v>244</v>
      </c>
      <c r="E136" s="2"/>
      <c r="F136" s="8">
        <v>312.0</v>
      </c>
      <c r="G136" s="2" t="s">
        <v>154</v>
      </c>
      <c r="H136" s="2" t="s">
        <v>1478</v>
      </c>
      <c r="I136" s="2" t="s">
        <v>1479</v>
      </c>
      <c r="J136" s="11">
        <v>59.6</v>
      </c>
      <c r="K136" s="8"/>
      <c r="L136" s="8"/>
      <c r="M136" s="14">
        <v>6.0</v>
      </c>
      <c r="N136" s="15">
        <v>0.5243055555555556</v>
      </c>
      <c r="O136" s="17" t="s">
        <v>1481</v>
      </c>
      <c r="P136" s="15">
        <v>0.576388888888889</v>
      </c>
      <c r="Q136" s="15" t="s">
        <v>175</v>
      </c>
      <c r="R136" s="15" t="s">
        <v>175</v>
      </c>
      <c r="S136" s="18">
        <v>0.6194444444444445</v>
      </c>
      <c r="T136" s="20" t="s">
        <v>1483</v>
      </c>
      <c r="U136" s="2" t="s">
        <v>309</v>
      </c>
      <c r="V136" s="2" t="s">
        <v>175</v>
      </c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>
      <c r="A137" s="8">
        <v>2016.0</v>
      </c>
      <c r="B137" s="8" t="s">
        <v>400</v>
      </c>
      <c r="C137" s="8">
        <v>25.0</v>
      </c>
      <c r="D137" s="2" t="s">
        <v>150</v>
      </c>
      <c r="E137" s="2"/>
      <c r="F137" s="8">
        <v>313.0</v>
      </c>
      <c r="G137" s="2" t="s">
        <v>154</v>
      </c>
      <c r="H137" s="2" t="s">
        <v>195</v>
      </c>
      <c r="I137" s="2" t="s">
        <v>1487</v>
      </c>
      <c r="J137" s="11">
        <v>55.8</v>
      </c>
      <c r="K137" s="8"/>
      <c r="L137" s="8"/>
      <c r="M137" s="14">
        <v>5.0</v>
      </c>
      <c r="N137" s="15">
        <v>0.6263888888888889</v>
      </c>
      <c r="O137" s="17" t="s">
        <v>1488</v>
      </c>
      <c r="P137" s="15" t="s">
        <v>175</v>
      </c>
      <c r="Q137" s="15" t="s">
        <v>175</v>
      </c>
      <c r="R137" s="15" t="s">
        <v>175</v>
      </c>
      <c r="S137" s="18">
        <v>0.6833333333333332</v>
      </c>
      <c r="T137" s="20" t="s">
        <v>1490</v>
      </c>
      <c r="U137" s="2" t="s">
        <v>309</v>
      </c>
      <c r="V137" s="2" t="s">
        <v>175</v>
      </c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>
      <c r="A138" s="8">
        <v>2016.0</v>
      </c>
      <c r="B138" s="8" t="s">
        <v>400</v>
      </c>
      <c r="C138" s="8">
        <v>25.0</v>
      </c>
      <c r="D138" s="2" t="s">
        <v>150</v>
      </c>
      <c r="E138" s="2"/>
      <c r="F138" s="8">
        <v>314.0</v>
      </c>
      <c r="G138" s="2" t="s">
        <v>154</v>
      </c>
      <c r="H138" s="2" t="s">
        <v>1494</v>
      </c>
      <c r="I138" s="2" t="s">
        <v>1495</v>
      </c>
      <c r="J138" s="11">
        <v>58.6</v>
      </c>
      <c r="K138" s="8"/>
      <c r="L138" s="8"/>
      <c r="M138" s="14">
        <v>6.0</v>
      </c>
      <c r="N138" s="15">
        <v>0.6284722222222222</v>
      </c>
      <c r="O138" s="17" t="s">
        <v>365</v>
      </c>
      <c r="P138" s="15" t="s">
        <v>175</v>
      </c>
      <c r="Q138" s="15" t="s">
        <v>175</v>
      </c>
      <c r="R138" s="15" t="s">
        <v>175</v>
      </c>
      <c r="S138" s="18">
        <v>0.6854166666666667</v>
      </c>
      <c r="T138" s="20" t="s">
        <v>1497</v>
      </c>
      <c r="U138" s="2" t="s">
        <v>309</v>
      </c>
      <c r="V138" s="2" t="s">
        <v>175</v>
      </c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>
      <c r="A139" s="8">
        <v>2016.0</v>
      </c>
      <c r="B139" s="8" t="s">
        <v>400</v>
      </c>
      <c r="C139" s="8">
        <v>27.0</v>
      </c>
      <c r="D139" s="2" t="s">
        <v>665</v>
      </c>
      <c r="E139" s="2"/>
      <c r="F139" s="8">
        <v>315.0</v>
      </c>
      <c r="G139" s="2" t="s">
        <v>154</v>
      </c>
      <c r="H139" s="2" t="s">
        <v>920</v>
      </c>
      <c r="I139" s="2" t="s">
        <v>921</v>
      </c>
      <c r="J139" s="11">
        <v>57.6</v>
      </c>
      <c r="K139" s="8"/>
      <c r="L139" s="8"/>
      <c r="M139" s="14">
        <v>1.0</v>
      </c>
      <c r="N139" s="15">
        <v>0.29791666666666666</v>
      </c>
      <c r="O139" s="17" t="s">
        <v>1498</v>
      </c>
      <c r="P139" s="15">
        <v>0.3638888888888889</v>
      </c>
      <c r="Q139" s="15">
        <v>0.4284722222222222</v>
      </c>
      <c r="R139" s="15" t="s">
        <v>175</v>
      </c>
      <c r="S139" s="18">
        <v>0.4909722222222222</v>
      </c>
      <c r="T139" s="20" t="s">
        <v>622</v>
      </c>
      <c r="U139" s="2" t="s">
        <v>1500</v>
      </c>
      <c r="V139" s="2" t="s">
        <v>1501</v>
      </c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>
      <c r="A140" s="8">
        <v>2016.0</v>
      </c>
      <c r="B140" s="8" t="s">
        <v>400</v>
      </c>
      <c r="C140" s="8">
        <v>27.0</v>
      </c>
      <c r="D140" s="2" t="s">
        <v>511</v>
      </c>
      <c r="E140" s="2"/>
      <c r="F140" s="8">
        <v>316.0</v>
      </c>
      <c r="G140" s="2" t="s">
        <v>154</v>
      </c>
      <c r="H140" s="2" t="s">
        <v>1502</v>
      </c>
      <c r="I140" s="2" t="s">
        <v>1503</v>
      </c>
      <c r="J140" s="11">
        <v>57.6</v>
      </c>
      <c r="K140" s="8"/>
      <c r="L140" s="8"/>
      <c r="M140" s="14">
        <v>2.0</v>
      </c>
      <c r="N140" s="15">
        <v>0.30069444444444443</v>
      </c>
      <c r="O140" s="17" t="s">
        <v>1504</v>
      </c>
      <c r="P140" s="15">
        <v>0.3652777777777778</v>
      </c>
      <c r="Q140" s="15">
        <v>0.43333333333333335</v>
      </c>
      <c r="R140" s="15" t="s">
        <v>175</v>
      </c>
      <c r="S140" s="18">
        <v>0.5034722222222222</v>
      </c>
      <c r="T140" s="20" t="s">
        <v>226</v>
      </c>
      <c r="U140" s="2" t="s">
        <v>828</v>
      </c>
      <c r="V140" s="2" t="s">
        <v>175</v>
      </c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>
      <c r="A141" s="8">
        <v>2016.0</v>
      </c>
      <c r="B141" s="8" t="s">
        <v>400</v>
      </c>
      <c r="C141" s="8">
        <v>27.0</v>
      </c>
      <c r="D141" s="2" t="s">
        <v>511</v>
      </c>
      <c r="E141" s="2"/>
      <c r="F141" s="8">
        <v>317.0</v>
      </c>
      <c r="G141" s="2" t="s">
        <v>154</v>
      </c>
      <c r="H141" s="2" t="s">
        <v>1506</v>
      </c>
      <c r="I141" s="2" t="s">
        <v>1507</v>
      </c>
      <c r="J141" s="11">
        <v>58.8</v>
      </c>
      <c r="K141" s="8"/>
      <c r="L141" s="8"/>
      <c r="M141" s="14">
        <v>3.0</v>
      </c>
      <c r="N141" s="15">
        <v>0.3020833333333333</v>
      </c>
      <c r="O141" s="17" t="s">
        <v>1380</v>
      </c>
      <c r="P141" s="15">
        <v>0.3680555555555556</v>
      </c>
      <c r="Q141" s="15">
        <v>0.4354166666666666</v>
      </c>
      <c r="R141" s="15" t="s">
        <v>175</v>
      </c>
      <c r="S141" s="18">
        <v>0.5125000000000001</v>
      </c>
      <c r="T141" s="20" t="s">
        <v>1092</v>
      </c>
      <c r="U141" s="2" t="s">
        <v>295</v>
      </c>
      <c r="V141" s="2" t="s">
        <v>175</v>
      </c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>
      <c r="A142" s="8">
        <v>2016.0</v>
      </c>
      <c r="B142" s="8" t="s">
        <v>400</v>
      </c>
      <c r="C142" s="8">
        <v>27.0</v>
      </c>
      <c r="D142" s="2" t="s">
        <v>150</v>
      </c>
      <c r="E142" s="2"/>
      <c r="F142" s="8">
        <v>318.0</v>
      </c>
      <c r="G142" s="2" t="s">
        <v>154</v>
      </c>
      <c r="H142" s="2" t="s">
        <v>1508</v>
      </c>
      <c r="I142" s="2" t="s">
        <v>1509</v>
      </c>
      <c r="J142" s="11">
        <v>58.3</v>
      </c>
      <c r="K142" s="8"/>
      <c r="L142" s="8"/>
      <c r="M142" s="14">
        <v>4.0</v>
      </c>
      <c r="N142" s="15">
        <v>0.3048611111111111</v>
      </c>
      <c r="O142" s="17" t="s">
        <v>1510</v>
      </c>
      <c r="P142" s="15">
        <v>0.41250000000000003</v>
      </c>
      <c r="Q142" s="15">
        <v>0.4381944444444445</v>
      </c>
      <c r="R142" s="15" t="s">
        <v>175</v>
      </c>
      <c r="S142" s="18">
        <v>0.513888888888889</v>
      </c>
      <c r="T142" s="20" t="s">
        <v>1511</v>
      </c>
      <c r="U142" s="2" t="s">
        <v>250</v>
      </c>
      <c r="V142" s="2" t="s">
        <v>175</v>
      </c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>
      <c r="A143" s="8">
        <v>2016.0</v>
      </c>
      <c r="B143" s="8" t="s">
        <v>400</v>
      </c>
      <c r="C143" s="8">
        <v>27.0</v>
      </c>
      <c r="D143" s="2" t="s">
        <v>150</v>
      </c>
      <c r="E143" s="2"/>
      <c r="F143" s="8">
        <v>319.0</v>
      </c>
      <c r="G143" s="2" t="s">
        <v>154</v>
      </c>
      <c r="H143" s="2" t="s">
        <v>1515</v>
      </c>
      <c r="I143" s="2" t="s">
        <v>1516</v>
      </c>
      <c r="J143" s="11">
        <v>73.2</v>
      </c>
      <c r="K143" s="8"/>
      <c r="L143" s="8"/>
      <c r="M143" s="14">
        <v>5.0</v>
      </c>
      <c r="N143" s="15">
        <v>0.30833333333333335</v>
      </c>
      <c r="O143" s="17" t="s">
        <v>1517</v>
      </c>
      <c r="P143" s="15">
        <v>0.37222222222222223</v>
      </c>
      <c r="Q143" s="15">
        <v>0.44027777777777777</v>
      </c>
      <c r="R143" s="15" t="s">
        <v>175</v>
      </c>
      <c r="S143" s="18">
        <v>0.517361111111111</v>
      </c>
      <c r="T143" s="20" t="s">
        <v>1466</v>
      </c>
      <c r="U143" s="2" t="s">
        <v>1520</v>
      </c>
      <c r="V143" s="2" t="s">
        <v>175</v>
      </c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>
      <c r="A144" s="8">
        <v>2016.0</v>
      </c>
      <c r="B144" s="8" t="s">
        <v>400</v>
      </c>
      <c r="C144" s="8">
        <v>27.0</v>
      </c>
      <c r="D144" s="2" t="s">
        <v>1522</v>
      </c>
      <c r="E144" s="2"/>
      <c r="F144" s="8">
        <v>320.0</v>
      </c>
      <c r="G144" s="2" t="s">
        <v>154</v>
      </c>
      <c r="H144" s="2" t="s">
        <v>1523</v>
      </c>
      <c r="I144" s="2" t="s">
        <v>1524</v>
      </c>
      <c r="J144" s="11">
        <v>74.2</v>
      </c>
      <c r="K144" s="8"/>
      <c r="L144" s="8"/>
      <c r="M144" s="14">
        <v>6.0</v>
      </c>
      <c r="N144" s="15">
        <v>0.3159722222222222</v>
      </c>
      <c r="O144" s="17" t="s">
        <v>1525</v>
      </c>
      <c r="P144" s="15">
        <v>0.37847222222222227</v>
      </c>
      <c r="Q144" s="15">
        <v>0.45</v>
      </c>
      <c r="R144" s="15" t="s">
        <v>175</v>
      </c>
      <c r="S144" s="18">
        <v>0.5243055555555556</v>
      </c>
      <c r="T144" s="20" t="s">
        <v>1481</v>
      </c>
      <c r="U144" s="2" t="s">
        <v>1527</v>
      </c>
      <c r="V144" s="2" t="s">
        <v>175</v>
      </c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>
      <c r="A145" s="8">
        <v>2016.0</v>
      </c>
      <c r="B145" s="8" t="s">
        <v>400</v>
      </c>
      <c r="C145" s="8">
        <v>27.0</v>
      </c>
      <c r="D145" s="2" t="s">
        <v>1522</v>
      </c>
      <c r="E145" s="2"/>
      <c r="F145" s="8">
        <v>321.0</v>
      </c>
      <c r="G145" s="2" t="s">
        <v>154</v>
      </c>
      <c r="H145" s="2" t="s">
        <v>1531</v>
      </c>
      <c r="I145" s="2" t="s">
        <v>1532</v>
      </c>
      <c r="J145" s="11">
        <v>74.4</v>
      </c>
      <c r="K145" s="8"/>
      <c r="L145" s="8"/>
      <c r="M145" s="14">
        <v>7.0</v>
      </c>
      <c r="N145" s="15">
        <v>0.3194444444444445</v>
      </c>
      <c r="O145" s="17" t="s">
        <v>1533</v>
      </c>
      <c r="P145" s="15">
        <v>0.3819444444444444</v>
      </c>
      <c r="Q145" s="15">
        <v>0.45208333333333334</v>
      </c>
      <c r="R145" s="15" t="s">
        <v>175</v>
      </c>
      <c r="S145" s="18">
        <v>0.5263888888888889</v>
      </c>
      <c r="T145" s="20" t="s">
        <v>1535</v>
      </c>
      <c r="U145" s="2" t="s">
        <v>1536</v>
      </c>
      <c r="V145" s="2" t="s">
        <v>175</v>
      </c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>
      <c r="A146" s="8">
        <v>2016.0</v>
      </c>
      <c r="B146" s="8" t="s">
        <v>400</v>
      </c>
      <c r="C146" s="8">
        <v>27.0</v>
      </c>
      <c r="D146" s="2" t="s">
        <v>1522</v>
      </c>
      <c r="E146" s="2"/>
      <c r="F146" s="8">
        <v>322.0</v>
      </c>
      <c r="G146" s="2" t="s">
        <v>154</v>
      </c>
      <c r="H146" s="2" t="s">
        <v>1537</v>
      </c>
      <c r="I146" s="2" t="s">
        <v>1538</v>
      </c>
      <c r="J146" s="11">
        <v>66.1</v>
      </c>
      <c r="K146" s="8"/>
      <c r="L146" s="8"/>
      <c r="M146" s="14">
        <v>8.0</v>
      </c>
      <c r="N146" s="15">
        <v>0.3215277777777778</v>
      </c>
      <c r="O146" s="17" t="s">
        <v>1539</v>
      </c>
      <c r="P146" s="15">
        <v>0.3840277777777778</v>
      </c>
      <c r="Q146" s="15">
        <v>0.4548611111111111</v>
      </c>
      <c r="R146" s="15" t="s">
        <v>175</v>
      </c>
      <c r="S146" s="18">
        <v>0.5291666666666667</v>
      </c>
      <c r="T146" s="20" t="s">
        <v>1540</v>
      </c>
      <c r="U146" s="2" t="s">
        <v>1541</v>
      </c>
      <c r="V146" s="2" t="s">
        <v>175</v>
      </c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>
      <c r="A147" s="8">
        <v>2016.0</v>
      </c>
      <c r="B147" s="8" t="s">
        <v>400</v>
      </c>
      <c r="C147" s="8">
        <v>27.0</v>
      </c>
      <c r="D147" s="2" t="s">
        <v>1544</v>
      </c>
      <c r="E147" s="2"/>
      <c r="F147" s="8">
        <v>323.0</v>
      </c>
      <c r="G147" s="2" t="s">
        <v>154</v>
      </c>
      <c r="H147" s="2" t="s">
        <v>1546</v>
      </c>
      <c r="I147" s="2" t="s">
        <v>1547</v>
      </c>
      <c r="J147" s="11">
        <v>85.3</v>
      </c>
      <c r="K147" s="8"/>
      <c r="L147" s="8"/>
      <c r="M147" s="14">
        <v>9.0</v>
      </c>
      <c r="N147" s="15">
        <v>0.3229166666666667</v>
      </c>
      <c r="O147" s="17" t="s">
        <v>1548</v>
      </c>
      <c r="P147" s="15">
        <v>0.3854166666666667</v>
      </c>
      <c r="Q147" s="15">
        <v>0.45625</v>
      </c>
      <c r="R147" s="50" t="s">
        <v>175</v>
      </c>
      <c r="S147" s="18">
        <v>0.5326388888888889</v>
      </c>
      <c r="T147" s="20" t="s">
        <v>1550</v>
      </c>
      <c r="U147" s="2" t="s">
        <v>1541</v>
      </c>
      <c r="V147" s="2" t="s">
        <v>175</v>
      </c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>
      <c r="A148" s="8">
        <v>2016.0</v>
      </c>
      <c r="B148" s="8" t="s">
        <v>400</v>
      </c>
      <c r="C148" s="8">
        <v>27.0</v>
      </c>
      <c r="D148" s="2" t="s">
        <v>1552</v>
      </c>
      <c r="E148" s="2"/>
      <c r="F148" s="8">
        <v>324.0</v>
      </c>
      <c r="G148" s="2" t="s">
        <v>154</v>
      </c>
      <c r="H148" s="2" t="s">
        <v>1554</v>
      </c>
      <c r="I148" s="2" t="s">
        <v>1555</v>
      </c>
      <c r="J148" s="11">
        <v>53.9</v>
      </c>
      <c r="K148" s="8"/>
      <c r="L148" s="8"/>
      <c r="M148" s="14">
        <v>10.0</v>
      </c>
      <c r="N148" s="60">
        <v>0.325</v>
      </c>
      <c r="O148" s="17" t="s">
        <v>1557</v>
      </c>
      <c r="P148" s="15">
        <v>0.38680555555555557</v>
      </c>
      <c r="Q148" s="15">
        <v>0.4583333333333333</v>
      </c>
      <c r="R148" s="15" t="s">
        <v>175</v>
      </c>
      <c r="S148" s="18">
        <v>0.5361111111111111</v>
      </c>
      <c r="T148" s="20" t="s">
        <v>1558</v>
      </c>
      <c r="U148" s="2" t="s">
        <v>1559</v>
      </c>
      <c r="V148" s="2" t="s">
        <v>175</v>
      </c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>
      <c r="A149" s="61">
        <v>2021.0</v>
      </c>
      <c r="B149" s="61" t="s">
        <v>925</v>
      </c>
      <c r="C149" s="61">
        <v>1.0</v>
      </c>
      <c r="D149" s="62" t="s">
        <v>19</v>
      </c>
      <c r="E149" s="62" t="s">
        <v>50</v>
      </c>
      <c r="F149" s="61">
        <v>542.0</v>
      </c>
      <c r="G149" s="62"/>
      <c r="H149" s="62" t="s">
        <v>1560</v>
      </c>
      <c r="I149" s="62" t="s">
        <v>1561</v>
      </c>
      <c r="J149" s="61">
        <v>69.0</v>
      </c>
      <c r="K149" s="61">
        <v>1.0</v>
      </c>
      <c r="L149" s="61">
        <v>1.0</v>
      </c>
      <c r="M149" s="63"/>
      <c r="N149" s="64">
        <v>0.31805555555555554</v>
      </c>
      <c r="O149" s="65" t="s">
        <v>1562</v>
      </c>
      <c r="P149" s="63"/>
      <c r="Q149" s="63"/>
      <c r="R149" s="63">
        <v>0.37777777777777777</v>
      </c>
      <c r="S149" s="62"/>
      <c r="T149" s="65" t="s">
        <v>1563</v>
      </c>
      <c r="U149" s="62" t="s">
        <v>309</v>
      </c>
      <c r="V149" s="62" t="s">
        <v>376</v>
      </c>
      <c r="W149" s="62"/>
      <c r="X149" s="62"/>
      <c r="Y149" s="62"/>
      <c r="Z149" s="62"/>
      <c r="AA149" s="62"/>
      <c r="AB149" s="62"/>
      <c r="AC149" s="62"/>
      <c r="AD149" s="62"/>
      <c r="AE149" s="62"/>
      <c r="AF149" s="62"/>
      <c r="AG149" s="62"/>
    </row>
    <row r="150">
      <c r="A150" s="61">
        <v>2021.0</v>
      </c>
      <c r="B150" s="61" t="s">
        <v>925</v>
      </c>
      <c r="C150" s="61">
        <v>1.0</v>
      </c>
      <c r="D150" s="62" t="s">
        <v>19</v>
      </c>
      <c r="E150" s="62" t="s">
        <v>50</v>
      </c>
      <c r="F150" s="61">
        <v>542.0</v>
      </c>
      <c r="G150" s="62"/>
      <c r="H150" s="62" t="s">
        <v>1560</v>
      </c>
      <c r="I150" s="62" t="s">
        <v>1561</v>
      </c>
      <c r="J150" s="61">
        <v>69.0</v>
      </c>
      <c r="K150" s="61">
        <v>1.0</v>
      </c>
      <c r="L150" s="61">
        <v>2.0</v>
      </c>
      <c r="M150" s="66" t="s">
        <v>1564</v>
      </c>
      <c r="N150" s="63">
        <v>0.37777777777777777</v>
      </c>
      <c r="O150" s="65" t="s">
        <v>1563</v>
      </c>
      <c r="P150" s="63"/>
      <c r="Q150" s="63"/>
      <c r="R150" s="63">
        <v>0.44166666666666665</v>
      </c>
      <c r="S150" s="62"/>
      <c r="T150" s="65" t="s">
        <v>581</v>
      </c>
      <c r="U150" s="62"/>
      <c r="V150" s="62" t="s">
        <v>376</v>
      </c>
      <c r="W150" s="62"/>
      <c r="X150" s="62"/>
      <c r="Y150" s="62"/>
      <c r="Z150" s="62"/>
      <c r="AA150" s="62"/>
      <c r="AB150" s="62"/>
      <c r="AC150" s="62"/>
      <c r="AD150" s="62"/>
      <c r="AE150" s="62"/>
      <c r="AF150" s="62"/>
      <c r="AG150" s="62"/>
    </row>
    <row r="151">
      <c r="A151" s="61">
        <v>2021.0</v>
      </c>
      <c r="B151" s="61" t="s">
        <v>925</v>
      </c>
      <c r="C151" s="61">
        <v>1.0</v>
      </c>
      <c r="D151" s="62" t="s">
        <v>19</v>
      </c>
      <c r="E151" s="62" t="s">
        <v>50</v>
      </c>
      <c r="F151" s="61">
        <v>542.0</v>
      </c>
      <c r="G151" s="62"/>
      <c r="H151" s="62" t="s">
        <v>1560</v>
      </c>
      <c r="I151" s="62" t="s">
        <v>1561</v>
      </c>
      <c r="J151" s="61">
        <v>69.0</v>
      </c>
      <c r="K151" s="61">
        <v>1.0</v>
      </c>
      <c r="L151" s="61">
        <v>3.0</v>
      </c>
      <c r="M151" s="63"/>
      <c r="N151" s="63">
        <v>0.44166666666666665</v>
      </c>
      <c r="O151" s="65" t="s">
        <v>581</v>
      </c>
      <c r="P151" s="63"/>
      <c r="Q151" s="63"/>
      <c r="R151" s="63">
        <v>0.50625</v>
      </c>
      <c r="S151" s="62"/>
      <c r="T151" s="65" t="s">
        <v>1565</v>
      </c>
      <c r="U151" s="62" t="s">
        <v>287</v>
      </c>
      <c r="V151" s="62" t="s">
        <v>376</v>
      </c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</row>
    <row r="152">
      <c r="A152" s="61">
        <v>2021.0</v>
      </c>
      <c r="B152" s="61" t="s">
        <v>925</v>
      </c>
      <c r="C152" s="61">
        <v>1.0</v>
      </c>
      <c r="D152" s="62" t="s">
        <v>19</v>
      </c>
      <c r="E152" s="62" t="s">
        <v>50</v>
      </c>
      <c r="F152" s="61">
        <v>542.0</v>
      </c>
      <c r="G152" s="62"/>
      <c r="H152" s="62" t="s">
        <v>1560</v>
      </c>
      <c r="I152" s="62" t="s">
        <v>1561</v>
      </c>
      <c r="J152" s="61">
        <v>69.0</v>
      </c>
      <c r="K152" s="61">
        <v>1.0</v>
      </c>
      <c r="L152" s="61">
        <v>4.0</v>
      </c>
      <c r="M152" s="63"/>
      <c r="N152" s="63">
        <v>0.50625</v>
      </c>
      <c r="O152" s="65" t="s">
        <v>1565</v>
      </c>
      <c r="P152" s="63"/>
      <c r="Q152" s="63"/>
      <c r="R152" s="63">
        <v>0.5756944444444444</v>
      </c>
      <c r="S152" s="62"/>
      <c r="T152" s="65" t="s">
        <v>1566</v>
      </c>
      <c r="U152" s="62"/>
      <c r="V152" s="62" t="s">
        <v>1567</v>
      </c>
      <c r="W152" s="62"/>
      <c r="X152" s="62"/>
      <c r="Y152" s="62"/>
      <c r="Z152" s="62"/>
      <c r="AA152" s="62"/>
      <c r="AB152" s="62"/>
      <c r="AC152" s="62"/>
      <c r="AD152" s="62"/>
      <c r="AE152" s="62"/>
      <c r="AF152" s="62"/>
      <c r="AG152" s="62"/>
    </row>
    <row r="153">
      <c r="A153" s="61">
        <v>2021.0</v>
      </c>
      <c r="B153" s="61" t="s">
        <v>925</v>
      </c>
      <c r="C153" s="61">
        <v>1.0</v>
      </c>
      <c r="D153" s="62" t="s">
        <v>19</v>
      </c>
      <c r="E153" s="62" t="s">
        <v>50</v>
      </c>
      <c r="F153" s="61">
        <v>542.0</v>
      </c>
      <c r="G153" s="62"/>
      <c r="H153" s="62" t="s">
        <v>1560</v>
      </c>
      <c r="I153" s="62" t="s">
        <v>1561</v>
      </c>
      <c r="J153" s="61">
        <v>69.0</v>
      </c>
      <c r="K153" s="61">
        <v>1.0</v>
      </c>
      <c r="L153" s="61">
        <v>5.0</v>
      </c>
      <c r="M153" s="63"/>
      <c r="N153" s="63">
        <v>0.5756944444444444</v>
      </c>
      <c r="O153" s="65" t="s">
        <v>1566</v>
      </c>
      <c r="P153" s="63"/>
      <c r="Q153" s="63"/>
      <c r="R153" s="63">
        <v>0.6430555555555556</v>
      </c>
      <c r="S153" s="62"/>
      <c r="T153" s="65" t="s">
        <v>1568</v>
      </c>
      <c r="U153" s="62" t="s">
        <v>309</v>
      </c>
      <c r="V153" s="62" t="s">
        <v>376</v>
      </c>
      <c r="W153" s="62"/>
      <c r="X153" s="62"/>
      <c r="Y153" s="62"/>
      <c r="Z153" s="62"/>
      <c r="AA153" s="62"/>
      <c r="AB153" s="62"/>
      <c r="AC153" s="62"/>
      <c r="AD153" s="62"/>
      <c r="AE153" s="62"/>
      <c r="AF153" s="62"/>
      <c r="AG153" s="62"/>
    </row>
    <row r="154">
      <c r="A154" s="61">
        <v>2021.0</v>
      </c>
      <c r="B154" s="61" t="s">
        <v>925</v>
      </c>
      <c r="C154" s="61">
        <v>1.0</v>
      </c>
      <c r="D154" s="62" t="s">
        <v>19</v>
      </c>
      <c r="E154" s="62" t="s">
        <v>50</v>
      </c>
      <c r="F154" s="61">
        <v>586.0</v>
      </c>
      <c r="G154" s="62"/>
      <c r="H154" s="62" t="s">
        <v>1569</v>
      </c>
      <c r="I154" s="62" t="s">
        <v>1570</v>
      </c>
      <c r="J154" s="61">
        <v>59.0</v>
      </c>
      <c r="K154" s="61">
        <v>2.0</v>
      </c>
      <c r="L154" s="61">
        <v>1.0</v>
      </c>
      <c r="M154" s="63"/>
      <c r="N154" s="63">
        <v>0.32083333333333336</v>
      </c>
      <c r="O154" s="65" t="s">
        <v>1571</v>
      </c>
      <c r="P154" s="63"/>
      <c r="Q154" s="63"/>
      <c r="R154" s="63">
        <v>0.38333333333333336</v>
      </c>
      <c r="S154" s="62"/>
      <c r="T154" s="65" t="s">
        <v>516</v>
      </c>
      <c r="U154" s="62" t="s">
        <v>267</v>
      </c>
      <c r="V154" s="62" t="s">
        <v>376</v>
      </c>
      <c r="W154" s="62"/>
      <c r="X154" s="62"/>
      <c r="Y154" s="62"/>
      <c r="Z154" s="62"/>
      <c r="AA154" s="62"/>
      <c r="AB154" s="62"/>
      <c r="AC154" s="62"/>
      <c r="AD154" s="62"/>
      <c r="AE154" s="62"/>
      <c r="AF154" s="62"/>
      <c r="AG154" s="62"/>
    </row>
    <row r="155">
      <c r="A155" s="61">
        <v>2021.0</v>
      </c>
      <c r="B155" s="61" t="s">
        <v>925</v>
      </c>
      <c r="C155" s="61">
        <v>1.0</v>
      </c>
      <c r="D155" s="62" t="s">
        <v>19</v>
      </c>
      <c r="E155" s="62" t="s">
        <v>50</v>
      </c>
      <c r="F155" s="61">
        <v>586.0</v>
      </c>
      <c r="G155" s="62"/>
      <c r="H155" s="62" t="s">
        <v>1569</v>
      </c>
      <c r="I155" s="62" t="s">
        <v>1570</v>
      </c>
      <c r="J155" s="61">
        <v>59.0</v>
      </c>
      <c r="K155" s="61">
        <v>2.0</v>
      </c>
      <c r="L155" s="61">
        <v>2.0</v>
      </c>
      <c r="M155" s="63"/>
      <c r="N155" s="63">
        <v>0.38333333333333336</v>
      </c>
      <c r="O155" s="65" t="s">
        <v>516</v>
      </c>
      <c r="P155" s="63"/>
      <c r="Q155" s="63"/>
      <c r="R155" s="63">
        <v>0.44375</v>
      </c>
      <c r="S155" s="62"/>
      <c r="T155" s="65" t="s">
        <v>1572</v>
      </c>
      <c r="U155" s="62"/>
      <c r="V155" s="62" t="s">
        <v>376</v>
      </c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</row>
    <row r="156">
      <c r="A156" s="61">
        <v>2021.0</v>
      </c>
      <c r="B156" s="61" t="s">
        <v>925</v>
      </c>
      <c r="C156" s="61">
        <v>1.0</v>
      </c>
      <c r="D156" s="62" t="s">
        <v>19</v>
      </c>
      <c r="E156" s="62" t="s">
        <v>50</v>
      </c>
      <c r="F156" s="61">
        <v>586.0</v>
      </c>
      <c r="G156" s="62"/>
      <c r="H156" s="62" t="s">
        <v>1569</v>
      </c>
      <c r="I156" s="62" t="s">
        <v>1570</v>
      </c>
      <c r="J156" s="61">
        <v>59.0</v>
      </c>
      <c r="K156" s="61">
        <v>2.0</v>
      </c>
      <c r="L156" s="61">
        <v>3.0</v>
      </c>
      <c r="M156" s="63"/>
      <c r="N156" s="63">
        <v>0.44375</v>
      </c>
      <c r="O156" s="65" t="s">
        <v>1572</v>
      </c>
      <c r="P156" s="63"/>
      <c r="Q156" s="63"/>
      <c r="R156" s="63">
        <v>0.5083333333333333</v>
      </c>
      <c r="S156" s="62"/>
      <c r="T156" s="65" t="s">
        <v>1573</v>
      </c>
      <c r="U156" s="62" t="s">
        <v>309</v>
      </c>
      <c r="V156" s="62" t="s">
        <v>376</v>
      </c>
      <c r="W156" s="62"/>
      <c r="X156" s="62"/>
      <c r="Y156" s="62"/>
      <c r="Z156" s="62"/>
      <c r="AA156" s="62"/>
      <c r="AB156" s="62"/>
      <c r="AC156" s="62"/>
      <c r="AD156" s="62"/>
      <c r="AE156" s="62"/>
      <c r="AF156" s="62"/>
      <c r="AG156" s="62"/>
    </row>
    <row r="157">
      <c r="A157" s="61">
        <v>2021.0</v>
      </c>
      <c r="B157" s="61" t="s">
        <v>925</v>
      </c>
      <c r="C157" s="61">
        <v>1.0</v>
      </c>
      <c r="D157" s="62" t="s">
        <v>19</v>
      </c>
      <c r="E157" s="62" t="s">
        <v>50</v>
      </c>
      <c r="F157" s="61">
        <v>586.0</v>
      </c>
      <c r="G157" s="62"/>
      <c r="H157" s="62" t="s">
        <v>1569</v>
      </c>
      <c r="I157" s="62" t="s">
        <v>1570</v>
      </c>
      <c r="J157" s="61">
        <v>59.0</v>
      </c>
      <c r="K157" s="61">
        <v>2.0</v>
      </c>
      <c r="L157" s="61">
        <v>4.0</v>
      </c>
      <c r="M157" s="63"/>
      <c r="N157" s="63">
        <v>0.5083333333333333</v>
      </c>
      <c r="O157" s="65" t="s">
        <v>1573</v>
      </c>
      <c r="P157" s="63"/>
      <c r="Q157" s="63"/>
      <c r="R157" s="63">
        <v>0.5979166666666667</v>
      </c>
      <c r="S157" s="62"/>
      <c r="T157" s="65" t="s">
        <v>1574</v>
      </c>
      <c r="U157" s="62"/>
      <c r="V157" s="62" t="s">
        <v>422</v>
      </c>
      <c r="W157" s="62"/>
      <c r="X157" s="62"/>
      <c r="Y157" s="62"/>
      <c r="Z157" s="62"/>
      <c r="AA157" s="62"/>
      <c r="AB157" s="62"/>
      <c r="AC157" s="62"/>
      <c r="AD157" s="62"/>
      <c r="AE157" s="62"/>
      <c r="AF157" s="62"/>
      <c r="AG157" s="62"/>
    </row>
    <row r="158">
      <c r="A158" s="61">
        <v>2021.0</v>
      </c>
      <c r="B158" s="61" t="s">
        <v>925</v>
      </c>
      <c r="C158" s="61">
        <v>1.0</v>
      </c>
      <c r="D158" s="62" t="s">
        <v>19</v>
      </c>
      <c r="E158" s="62" t="s">
        <v>50</v>
      </c>
      <c r="F158" s="61">
        <v>586.0</v>
      </c>
      <c r="G158" s="62"/>
      <c r="H158" s="62" t="s">
        <v>1569</v>
      </c>
      <c r="I158" s="62" t="s">
        <v>1570</v>
      </c>
      <c r="J158" s="61">
        <v>59.0</v>
      </c>
      <c r="K158" s="61">
        <v>2.0</v>
      </c>
      <c r="L158" s="61">
        <v>5.0</v>
      </c>
      <c r="M158" s="63"/>
      <c r="N158" s="63">
        <v>0.5979166666666667</v>
      </c>
      <c r="O158" s="65" t="s">
        <v>1574</v>
      </c>
      <c r="P158" s="63"/>
      <c r="Q158" s="63"/>
      <c r="R158" s="63">
        <v>0.6458333333333334</v>
      </c>
      <c r="S158" s="62"/>
      <c r="T158" s="65" t="s">
        <v>1301</v>
      </c>
      <c r="U158" s="62" t="s">
        <v>287</v>
      </c>
      <c r="V158" s="62" t="s">
        <v>422</v>
      </c>
      <c r="W158" s="62" t="s">
        <v>1575</v>
      </c>
      <c r="X158" s="62"/>
      <c r="Y158" s="62"/>
      <c r="Z158" s="62"/>
      <c r="AA158" s="62"/>
      <c r="AB158" s="62"/>
      <c r="AC158" s="62"/>
      <c r="AD158" s="62"/>
      <c r="AE158" s="62"/>
      <c r="AF158" s="62"/>
      <c r="AG158" s="62"/>
    </row>
    <row r="159">
      <c r="A159" s="61">
        <v>2021.0</v>
      </c>
      <c r="B159" s="61" t="s">
        <v>925</v>
      </c>
      <c r="C159" s="61">
        <v>1.0</v>
      </c>
      <c r="D159" s="62" t="s">
        <v>19</v>
      </c>
      <c r="E159" s="62" t="s">
        <v>50</v>
      </c>
      <c r="F159" s="61">
        <v>544.0</v>
      </c>
      <c r="G159" s="62"/>
      <c r="H159" s="62" t="s">
        <v>1576</v>
      </c>
      <c r="I159" s="62" t="s">
        <v>1577</v>
      </c>
      <c r="J159" s="61">
        <v>56.0</v>
      </c>
      <c r="K159" s="61">
        <v>3.0</v>
      </c>
      <c r="L159" s="61">
        <v>1.0</v>
      </c>
      <c r="M159" s="63"/>
      <c r="N159" s="63">
        <v>0.3236111111111111</v>
      </c>
      <c r="O159" s="65" t="s">
        <v>1578</v>
      </c>
      <c r="P159" s="63"/>
      <c r="Q159" s="63"/>
      <c r="R159" s="63">
        <v>0.38263888888888886</v>
      </c>
      <c r="S159" s="62"/>
      <c r="T159" s="65" t="s">
        <v>1579</v>
      </c>
      <c r="U159" s="62" t="s">
        <v>309</v>
      </c>
      <c r="V159" s="62" t="s">
        <v>376</v>
      </c>
      <c r="W159" s="62"/>
      <c r="X159" s="62"/>
      <c r="Y159" s="62"/>
      <c r="Z159" s="62"/>
      <c r="AA159" s="62"/>
      <c r="AB159" s="62"/>
      <c r="AC159" s="62"/>
      <c r="AD159" s="62"/>
      <c r="AE159" s="62"/>
      <c r="AF159" s="62"/>
      <c r="AG159" s="62"/>
    </row>
    <row r="160">
      <c r="A160" s="61">
        <v>2021.0</v>
      </c>
      <c r="B160" s="61" t="s">
        <v>925</v>
      </c>
      <c r="C160" s="61">
        <v>1.0</v>
      </c>
      <c r="D160" s="62" t="s">
        <v>19</v>
      </c>
      <c r="E160" s="62" t="s">
        <v>50</v>
      </c>
      <c r="F160" s="61">
        <v>544.0</v>
      </c>
      <c r="G160" s="62"/>
      <c r="H160" s="62" t="s">
        <v>1576</v>
      </c>
      <c r="I160" s="62" t="s">
        <v>1577</v>
      </c>
      <c r="J160" s="61">
        <v>56.0</v>
      </c>
      <c r="K160" s="61">
        <v>3.0</v>
      </c>
      <c r="L160" s="61">
        <v>2.0</v>
      </c>
      <c r="M160" s="63"/>
      <c r="N160" s="63">
        <v>0.38263888888888886</v>
      </c>
      <c r="O160" s="65" t="s">
        <v>1579</v>
      </c>
      <c r="P160" s="63"/>
      <c r="Q160" s="63"/>
      <c r="R160" s="63">
        <v>0.4465277777777778</v>
      </c>
      <c r="S160" s="62"/>
      <c r="T160" s="65" t="s">
        <v>254</v>
      </c>
      <c r="U160" s="62" t="s">
        <v>309</v>
      </c>
      <c r="V160" s="62" t="s">
        <v>376</v>
      </c>
      <c r="W160" s="62"/>
      <c r="X160" s="62"/>
      <c r="Y160" s="62"/>
      <c r="Z160" s="62"/>
      <c r="AA160" s="62"/>
      <c r="AB160" s="62"/>
      <c r="AC160" s="62"/>
      <c r="AD160" s="62"/>
      <c r="AE160" s="62"/>
      <c r="AF160" s="62"/>
      <c r="AG160" s="62"/>
    </row>
    <row r="161">
      <c r="A161" s="61">
        <v>2021.0</v>
      </c>
      <c r="B161" s="61" t="s">
        <v>925</v>
      </c>
      <c r="C161" s="61">
        <v>1.0</v>
      </c>
      <c r="D161" s="62" t="s">
        <v>19</v>
      </c>
      <c r="E161" s="62" t="s">
        <v>50</v>
      </c>
      <c r="F161" s="61">
        <v>544.0</v>
      </c>
      <c r="G161" s="62"/>
      <c r="H161" s="62" t="s">
        <v>1576</v>
      </c>
      <c r="I161" s="62" t="s">
        <v>1577</v>
      </c>
      <c r="J161" s="61">
        <v>56.0</v>
      </c>
      <c r="K161" s="61">
        <v>3.0</v>
      </c>
      <c r="L161" s="61">
        <v>3.0</v>
      </c>
      <c r="M161" s="63"/>
      <c r="N161" s="63">
        <v>0.4465277777777778</v>
      </c>
      <c r="O161" s="65" t="s">
        <v>254</v>
      </c>
      <c r="P161" s="63"/>
      <c r="Q161" s="63"/>
      <c r="R161" s="63">
        <v>0.5104166666666666</v>
      </c>
      <c r="S161" s="62"/>
      <c r="T161" s="65" t="s">
        <v>1432</v>
      </c>
      <c r="U161" s="62"/>
      <c r="V161" s="62" t="s">
        <v>411</v>
      </c>
      <c r="W161" s="62"/>
      <c r="X161" s="62"/>
      <c r="Y161" s="62"/>
      <c r="Z161" s="62"/>
      <c r="AA161" s="62"/>
      <c r="AB161" s="62"/>
      <c r="AC161" s="62"/>
      <c r="AD161" s="62"/>
      <c r="AE161" s="62"/>
      <c r="AF161" s="62"/>
      <c r="AG161" s="62"/>
    </row>
    <row r="162">
      <c r="A162" s="61">
        <v>2021.0</v>
      </c>
      <c r="B162" s="61" t="s">
        <v>925</v>
      </c>
      <c r="C162" s="61">
        <v>1.0</v>
      </c>
      <c r="D162" s="62" t="s">
        <v>19</v>
      </c>
      <c r="E162" s="62" t="s">
        <v>50</v>
      </c>
      <c r="F162" s="61">
        <v>544.0</v>
      </c>
      <c r="G162" s="62"/>
      <c r="H162" s="62" t="s">
        <v>1576</v>
      </c>
      <c r="I162" s="62" t="s">
        <v>1577</v>
      </c>
      <c r="J162" s="61">
        <v>56.0</v>
      </c>
      <c r="K162" s="61">
        <v>3.0</v>
      </c>
      <c r="L162" s="61">
        <v>4.0</v>
      </c>
      <c r="M162" s="63"/>
      <c r="N162" s="63">
        <v>0.5104166666666666</v>
      </c>
      <c r="O162" s="65" t="s">
        <v>1432</v>
      </c>
      <c r="P162" s="63"/>
      <c r="Q162" s="63"/>
      <c r="R162" s="63">
        <v>0.6013888888888889</v>
      </c>
      <c r="S162" s="62"/>
      <c r="T162" s="65" t="s">
        <v>1580</v>
      </c>
      <c r="U162" s="62" t="s">
        <v>287</v>
      </c>
      <c r="V162" s="62" t="s">
        <v>1581</v>
      </c>
      <c r="W162" s="62"/>
      <c r="X162" s="62"/>
      <c r="Y162" s="62"/>
      <c r="Z162" s="62"/>
      <c r="AA162" s="62"/>
      <c r="AB162" s="62"/>
      <c r="AC162" s="62"/>
      <c r="AD162" s="62"/>
      <c r="AE162" s="62"/>
      <c r="AF162" s="62"/>
      <c r="AG162" s="62"/>
    </row>
    <row r="163">
      <c r="A163" s="61">
        <v>2021.0</v>
      </c>
      <c r="B163" s="61" t="s">
        <v>925</v>
      </c>
      <c r="C163" s="61">
        <v>1.0</v>
      </c>
      <c r="D163" s="62" t="s">
        <v>19</v>
      </c>
      <c r="E163" s="62" t="s">
        <v>50</v>
      </c>
      <c r="F163" s="61">
        <v>544.0</v>
      </c>
      <c r="G163" s="62"/>
      <c r="H163" s="62" t="s">
        <v>1576</v>
      </c>
      <c r="I163" s="62" t="s">
        <v>1577</v>
      </c>
      <c r="J163" s="61">
        <v>56.0</v>
      </c>
      <c r="K163" s="61">
        <v>3.0</v>
      </c>
      <c r="L163" s="61">
        <v>5.0</v>
      </c>
      <c r="M163" s="63"/>
      <c r="N163" s="63">
        <v>0.6013888888888889</v>
      </c>
      <c r="O163" s="65" t="s">
        <v>1580</v>
      </c>
      <c r="P163" s="63"/>
      <c r="Q163" s="63"/>
      <c r="R163" s="63">
        <v>0.6486111111111111</v>
      </c>
      <c r="S163" s="62"/>
      <c r="T163" s="65" t="s">
        <v>757</v>
      </c>
      <c r="U163" s="62"/>
      <c r="V163" s="62" t="s">
        <v>1582</v>
      </c>
      <c r="W163" s="62"/>
      <c r="X163" s="62"/>
      <c r="Y163" s="62"/>
      <c r="Z163" s="62"/>
      <c r="AA163" s="62"/>
      <c r="AB163" s="62"/>
      <c r="AC163" s="62"/>
      <c r="AD163" s="62"/>
      <c r="AE163" s="62"/>
      <c r="AF163" s="62"/>
      <c r="AG163" s="62"/>
    </row>
    <row r="164">
      <c r="A164" s="61">
        <v>2021.0</v>
      </c>
      <c r="B164" s="61" t="s">
        <v>925</v>
      </c>
      <c r="C164" s="61">
        <v>1.0</v>
      </c>
      <c r="D164" s="62" t="s">
        <v>19</v>
      </c>
      <c r="E164" s="62" t="s">
        <v>50</v>
      </c>
      <c r="F164" s="61">
        <v>545.0</v>
      </c>
      <c r="G164" s="62"/>
      <c r="H164" s="62" t="s">
        <v>1583</v>
      </c>
      <c r="I164" s="62" t="s">
        <v>1584</v>
      </c>
      <c r="J164" s="61">
        <v>55.0</v>
      </c>
      <c r="K164" s="61">
        <v>4.0</v>
      </c>
      <c r="L164" s="61">
        <v>1.0</v>
      </c>
      <c r="M164" s="63"/>
      <c r="N164" s="63">
        <v>0.32569444444444445</v>
      </c>
      <c r="O164" s="65" t="s">
        <v>1585</v>
      </c>
      <c r="P164" s="63"/>
      <c r="Q164" s="63"/>
      <c r="R164" s="63">
        <v>0.38958333333333334</v>
      </c>
      <c r="S164" s="62"/>
      <c r="T164" s="65" t="s">
        <v>536</v>
      </c>
      <c r="U164" s="62" t="s">
        <v>309</v>
      </c>
      <c r="V164" s="62" t="s">
        <v>376</v>
      </c>
      <c r="W164" s="62"/>
      <c r="X164" s="62"/>
      <c r="Y164" s="62"/>
      <c r="Z164" s="62"/>
      <c r="AA164" s="62"/>
      <c r="AB164" s="62"/>
      <c r="AC164" s="62"/>
      <c r="AD164" s="62"/>
      <c r="AE164" s="62"/>
      <c r="AF164" s="62"/>
      <c r="AG164" s="62"/>
    </row>
    <row r="165">
      <c r="A165" s="61">
        <v>2021.0</v>
      </c>
      <c r="B165" s="61" t="s">
        <v>925</v>
      </c>
      <c r="C165" s="61">
        <v>1.0</v>
      </c>
      <c r="D165" s="62" t="s">
        <v>19</v>
      </c>
      <c r="E165" s="62" t="s">
        <v>50</v>
      </c>
      <c r="F165" s="61">
        <v>545.0</v>
      </c>
      <c r="G165" s="62"/>
      <c r="H165" s="62" t="s">
        <v>1583</v>
      </c>
      <c r="I165" s="62" t="s">
        <v>1584</v>
      </c>
      <c r="J165" s="61">
        <v>55.0</v>
      </c>
      <c r="K165" s="61">
        <v>4.0</v>
      </c>
      <c r="L165" s="61">
        <v>2.0</v>
      </c>
      <c r="M165" s="63"/>
      <c r="N165" s="63">
        <v>0.38958333333333334</v>
      </c>
      <c r="O165" s="65" t="s">
        <v>536</v>
      </c>
      <c r="P165" s="63"/>
      <c r="Q165" s="63"/>
      <c r="R165" s="63">
        <v>0.4479166666666667</v>
      </c>
      <c r="S165" s="62"/>
      <c r="T165" s="65" t="s">
        <v>345</v>
      </c>
      <c r="U165" s="62"/>
      <c r="V165" s="62" t="s">
        <v>376</v>
      </c>
      <c r="W165" s="62"/>
      <c r="X165" s="62"/>
      <c r="Y165" s="62"/>
      <c r="Z165" s="62"/>
      <c r="AA165" s="62"/>
      <c r="AB165" s="62"/>
      <c r="AC165" s="62"/>
      <c r="AD165" s="62"/>
      <c r="AE165" s="62"/>
      <c r="AF165" s="62"/>
      <c r="AG165" s="62"/>
    </row>
    <row r="166">
      <c r="A166" s="61">
        <v>2021.0</v>
      </c>
      <c r="B166" s="61" t="s">
        <v>925</v>
      </c>
      <c r="C166" s="61">
        <v>1.0</v>
      </c>
      <c r="D166" s="62" t="s">
        <v>19</v>
      </c>
      <c r="E166" s="62" t="s">
        <v>50</v>
      </c>
      <c r="F166" s="61">
        <v>545.0</v>
      </c>
      <c r="G166" s="62"/>
      <c r="H166" s="62" t="s">
        <v>1583</v>
      </c>
      <c r="I166" s="62" t="s">
        <v>1584</v>
      </c>
      <c r="J166" s="61">
        <v>55.0</v>
      </c>
      <c r="K166" s="61">
        <v>4.0</v>
      </c>
      <c r="L166" s="61">
        <v>3.0</v>
      </c>
      <c r="M166" s="63"/>
      <c r="N166" s="63">
        <v>0.4479166666666667</v>
      </c>
      <c r="O166" s="65" t="s">
        <v>345</v>
      </c>
      <c r="P166" s="63"/>
      <c r="Q166" s="63"/>
      <c r="R166" s="63">
        <v>0.5131944444444444</v>
      </c>
      <c r="S166" s="62"/>
      <c r="T166" s="65" t="s">
        <v>1586</v>
      </c>
      <c r="U166" s="62" t="s">
        <v>267</v>
      </c>
      <c r="V166" s="62" t="s">
        <v>422</v>
      </c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</row>
    <row r="167">
      <c r="A167" s="61">
        <v>2021.0</v>
      </c>
      <c r="B167" s="61" t="s">
        <v>925</v>
      </c>
      <c r="C167" s="61">
        <v>1.0</v>
      </c>
      <c r="D167" s="62" t="s">
        <v>19</v>
      </c>
      <c r="E167" s="62" t="s">
        <v>50</v>
      </c>
      <c r="F167" s="61">
        <v>545.0</v>
      </c>
      <c r="G167" s="62"/>
      <c r="H167" s="62" t="s">
        <v>1583</v>
      </c>
      <c r="I167" s="62" t="s">
        <v>1584</v>
      </c>
      <c r="J167" s="61">
        <v>55.0</v>
      </c>
      <c r="K167" s="61">
        <v>4.0</v>
      </c>
      <c r="L167" s="61">
        <v>4.0</v>
      </c>
      <c r="M167" s="63"/>
      <c r="N167" s="63">
        <v>0.5131944444444444</v>
      </c>
      <c r="O167" s="65" t="s">
        <v>1586</v>
      </c>
      <c r="P167" s="63"/>
      <c r="Q167" s="63"/>
      <c r="R167" s="63">
        <v>0.6048611111111111</v>
      </c>
      <c r="S167" s="62"/>
      <c r="T167" s="65" t="s">
        <v>1587</v>
      </c>
      <c r="U167" s="62" t="s">
        <v>287</v>
      </c>
      <c r="V167" s="62" t="s">
        <v>1588</v>
      </c>
      <c r="W167" s="62"/>
      <c r="X167" s="62"/>
      <c r="Y167" s="62"/>
      <c r="Z167" s="62"/>
      <c r="AA167" s="62"/>
      <c r="AB167" s="62"/>
      <c r="AC167" s="62"/>
      <c r="AD167" s="62"/>
      <c r="AE167" s="62"/>
      <c r="AF167" s="62"/>
      <c r="AG167" s="62"/>
    </row>
    <row r="168">
      <c r="A168" s="61">
        <v>2021.0</v>
      </c>
      <c r="B168" s="61" t="s">
        <v>925</v>
      </c>
      <c r="C168" s="61">
        <v>1.0</v>
      </c>
      <c r="D168" s="62" t="s">
        <v>19</v>
      </c>
      <c r="E168" s="62" t="s">
        <v>50</v>
      </c>
      <c r="F168" s="61">
        <v>545.0</v>
      </c>
      <c r="G168" s="62"/>
      <c r="H168" s="62" t="s">
        <v>1583</v>
      </c>
      <c r="I168" s="62" t="s">
        <v>1584</v>
      </c>
      <c r="J168" s="61">
        <v>55.0</v>
      </c>
      <c r="K168" s="61">
        <v>4.0</v>
      </c>
      <c r="L168" s="61">
        <v>5.0</v>
      </c>
      <c r="M168" s="63"/>
      <c r="N168" s="63">
        <v>0.6048611111111111</v>
      </c>
      <c r="O168" s="65" t="s">
        <v>1587</v>
      </c>
      <c r="P168" s="63"/>
      <c r="Q168" s="63"/>
      <c r="R168" s="63">
        <v>0.6965277777777777</v>
      </c>
      <c r="S168" s="62"/>
      <c r="T168" s="65" t="s">
        <v>1589</v>
      </c>
      <c r="U168" s="62" t="s">
        <v>267</v>
      </c>
      <c r="V168" s="62" t="s">
        <v>422</v>
      </c>
      <c r="W168" s="62"/>
      <c r="X168" s="62"/>
      <c r="Y168" s="62"/>
      <c r="Z168" s="62"/>
      <c r="AA168" s="62"/>
      <c r="AB168" s="62"/>
      <c r="AC168" s="62"/>
      <c r="AD168" s="62"/>
      <c r="AE168" s="62"/>
      <c r="AF168" s="62"/>
      <c r="AG168" s="62"/>
    </row>
    <row r="169">
      <c r="A169" s="61">
        <v>2021.0</v>
      </c>
      <c r="B169" s="61" t="s">
        <v>925</v>
      </c>
      <c r="C169" s="61">
        <v>1.0</v>
      </c>
      <c r="D169" s="62" t="s">
        <v>19</v>
      </c>
      <c r="E169" s="62" t="s">
        <v>50</v>
      </c>
      <c r="F169" s="61">
        <v>581.0</v>
      </c>
      <c r="G169" s="62"/>
      <c r="H169" s="62" t="s">
        <v>1590</v>
      </c>
      <c r="I169" s="62" t="s">
        <v>1591</v>
      </c>
      <c r="J169" s="61">
        <v>55.0</v>
      </c>
      <c r="K169" s="61">
        <v>5.0</v>
      </c>
      <c r="L169" s="61">
        <v>1.0</v>
      </c>
      <c r="M169" s="63"/>
      <c r="N169" s="63">
        <v>0.32916666666666666</v>
      </c>
      <c r="O169" s="65" t="s">
        <v>1592</v>
      </c>
      <c r="P169" s="63"/>
      <c r="Q169" s="63"/>
      <c r="R169" s="63">
        <v>0.39166666666666666</v>
      </c>
      <c r="S169" s="62"/>
      <c r="T169" s="65" t="s">
        <v>1593</v>
      </c>
      <c r="U169" s="62" t="s">
        <v>287</v>
      </c>
      <c r="V169" s="62" t="s">
        <v>1594</v>
      </c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</row>
    <row r="170">
      <c r="A170" s="61">
        <v>2021.0</v>
      </c>
      <c r="B170" s="61" t="s">
        <v>925</v>
      </c>
      <c r="C170" s="61">
        <v>1.0</v>
      </c>
      <c r="D170" s="62" t="s">
        <v>19</v>
      </c>
      <c r="E170" s="62" t="s">
        <v>50</v>
      </c>
      <c r="F170" s="61">
        <v>581.0</v>
      </c>
      <c r="G170" s="62"/>
      <c r="H170" s="62" t="s">
        <v>1590</v>
      </c>
      <c r="I170" s="62" t="s">
        <v>1591</v>
      </c>
      <c r="J170" s="61">
        <v>55.0</v>
      </c>
      <c r="K170" s="61">
        <v>5.0</v>
      </c>
      <c r="L170" s="61">
        <v>2.0</v>
      </c>
      <c r="M170" s="63"/>
      <c r="N170" s="63">
        <v>0.39166666666666666</v>
      </c>
      <c r="O170" s="65" t="s">
        <v>1593</v>
      </c>
      <c r="P170" s="63"/>
      <c r="Q170" s="63"/>
      <c r="R170" s="63">
        <v>0.45069444444444445</v>
      </c>
      <c r="S170" s="62"/>
      <c r="T170" s="65" t="s">
        <v>779</v>
      </c>
      <c r="U170" s="62" t="s">
        <v>309</v>
      </c>
      <c r="V170" s="62" t="s">
        <v>1595</v>
      </c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</row>
    <row r="171">
      <c r="A171" s="61">
        <v>2021.0</v>
      </c>
      <c r="B171" s="61" t="s">
        <v>925</v>
      </c>
      <c r="C171" s="61">
        <v>1.0</v>
      </c>
      <c r="D171" s="62" t="s">
        <v>19</v>
      </c>
      <c r="E171" s="62" t="s">
        <v>50</v>
      </c>
      <c r="F171" s="61">
        <v>581.0</v>
      </c>
      <c r="G171" s="62"/>
      <c r="H171" s="62" t="s">
        <v>1590</v>
      </c>
      <c r="I171" s="62" t="s">
        <v>1591</v>
      </c>
      <c r="J171" s="61">
        <v>55.0</v>
      </c>
      <c r="K171" s="61">
        <v>5.0</v>
      </c>
      <c r="L171" s="61">
        <v>3.0</v>
      </c>
      <c r="M171" s="63"/>
      <c r="N171" s="63">
        <v>0.45069444444444445</v>
      </c>
      <c r="O171" s="65" t="s">
        <v>779</v>
      </c>
      <c r="P171" s="63"/>
      <c r="Q171" s="63"/>
      <c r="R171" s="63">
        <v>0.5152777777777777</v>
      </c>
      <c r="S171" s="62"/>
      <c r="T171" s="65" t="s">
        <v>1115</v>
      </c>
      <c r="U171" s="62" t="s">
        <v>267</v>
      </c>
      <c r="V171" s="62" t="s">
        <v>422</v>
      </c>
      <c r="W171" s="62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</row>
    <row r="172">
      <c r="A172" s="61">
        <v>2021.0</v>
      </c>
      <c r="B172" s="61" t="s">
        <v>925</v>
      </c>
      <c r="C172" s="61">
        <v>1.0</v>
      </c>
      <c r="D172" s="62" t="s">
        <v>19</v>
      </c>
      <c r="E172" s="62" t="s">
        <v>50</v>
      </c>
      <c r="F172" s="61">
        <v>581.0</v>
      </c>
      <c r="G172" s="62"/>
      <c r="H172" s="62" t="s">
        <v>1590</v>
      </c>
      <c r="I172" s="62" t="s">
        <v>1591</v>
      </c>
      <c r="J172" s="61">
        <v>55.0</v>
      </c>
      <c r="K172" s="61">
        <v>5.0</v>
      </c>
      <c r="L172" s="61">
        <v>4.0</v>
      </c>
      <c r="M172" s="63"/>
      <c r="N172" s="63">
        <v>0.5152777777777777</v>
      </c>
      <c r="O172" s="65" t="s">
        <v>1115</v>
      </c>
      <c r="P172" s="63"/>
      <c r="Q172" s="63"/>
      <c r="R172" s="63">
        <v>0.6104166666666667</v>
      </c>
      <c r="S172" s="62"/>
      <c r="T172" s="65" t="s">
        <v>1596</v>
      </c>
      <c r="U172" s="62" t="s">
        <v>287</v>
      </c>
      <c r="V172" s="62" t="s">
        <v>1597</v>
      </c>
      <c r="W172" s="62"/>
      <c r="X172" s="62"/>
      <c r="Y172" s="62"/>
      <c r="Z172" s="62"/>
      <c r="AA172" s="62"/>
      <c r="AB172" s="62"/>
      <c r="AC172" s="62"/>
      <c r="AD172" s="62"/>
      <c r="AE172" s="62"/>
      <c r="AF172" s="62"/>
      <c r="AG172" s="62"/>
    </row>
    <row r="173">
      <c r="A173" s="61">
        <v>2021.0</v>
      </c>
      <c r="B173" s="61" t="s">
        <v>925</v>
      </c>
      <c r="C173" s="61">
        <v>1.0</v>
      </c>
      <c r="D173" s="62" t="s">
        <v>19</v>
      </c>
      <c r="E173" s="62" t="s">
        <v>50</v>
      </c>
      <c r="F173" s="61">
        <v>581.0</v>
      </c>
      <c r="G173" s="62"/>
      <c r="H173" s="62" t="s">
        <v>1590</v>
      </c>
      <c r="I173" s="62" t="s">
        <v>1591</v>
      </c>
      <c r="J173" s="61">
        <v>55.0</v>
      </c>
      <c r="K173" s="61">
        <v>5.0</v>
      </c>
      <c r="L173" s="61">
        <v>5.0</v>
      </c>
      <c r="M173" s="63"/>
      <c r="N173" s="63">
        <v>0.6104166666666667</v>
      </c>
      <c r="O173" s="65" t="s">
        <v>1596</v>
      </c>
      <c r="P173" s="63"/>
      <c r="Q173" s="63"/>
      <c r="R173" s="63">
        <v>0.6986111111111111</v>
      </c>
      <c r="S173" s="62"/>
      <c r="T173" s="65" t="s">
        <v>1598</v>
      </c>
      <c r="U173" s="62" t="s">
        <v>309</v>
      </c>
      <c r="V173" s="62" t="s">
        <v>1599</v>
      </c>
      <c r="W173" s="62"/>
      <c r="X173" s="62"/>
      <c r="Y173" s="62"/>
      <c r="Z173" s="62"/>
      <c r="AA173" s="62"/>
      <c r="AB173" s="62"/>
      <c r="AC173" s="62"/>
      <c r="AD173" s="62"/>
      <c r="AE173" s="62"/>
      <c r="AF173" s="62"/>
      <c r="AG173" s="62"/>
    </row>
    <row r="174">
      <c r="A174" s="61">
        <v>2021.0</v>
      </c>
      <c r="B174" s="61" t="s">
        <v>925</v>
      </c>
      <c r="C174" s="61">
        <v>1.0</v>
      </c>
      <c r="D174" s="62" t="s">
        <v>19</v>
      </c>
      <c r="E174" s="62" t="s">
        <v>50</v>
      </c>
      <c r="F174" s="61">
        <v>582.0</v>
      </c>
      <c r="G174" s="62"/>
      <c r="H174" s="62" t="s">
        <v>1600</v>
      </c>
      <c r="I174" s="62" t="s">
        <v>1601</v>
      </c>
      <c r="J174" s="61">
        <v>46.0</v>
      </c>
      <c r="K174" s="61">
        <v>6.0</v>
      </c>
      <c r="L174" s="61">
        <v>1.0</v>
      </c>
      <c r="M174" s="63"/>
      <c r="N174" s="63">
        <v>0.33125</v>
      </c>
      <c r="O174" s="65" t="s">
        <v>1602</v>
      </c>
      <c r="P174" s="63"/>
      <c r="Q174" s="63"/>
      <c r="R174" s="63">
        <v>0.39652777777777776</v>
      </c>
      <c r="S174" s="62"/>
      <c r="T174" s="65" t="s">
        <v>1603</v>
      </c>
      <c r="U174" s="62" t="s">
        <v>267</v>
      </c>
      <c r="V174" s="62" t="s">
        <v>1604</v>
      </c>
      <c r="W174" s="62"/>
      <c r="X174" s="62"/>
      <c r="Y174" s="62"/>
      <c r="Z174" s="62"/>
      <c r="AA174" s="62"/>
      <c r="AB174" s="62"/>
      <c r="AC174" s="62"/>
      <c r="AD174" s="62"/>
      <c r="AE174" s="62"/>
      <c r="AF174" s="62"/>
      <c r="AG174" s="62"/>
    </row>
    <row r="175">
      <c r="A175" s="61">
        <v>2021.0</v>
      </c>
      <c r="B175" s="61" t="s">
        <v>925</v>
      </c>
      <c r="C175" s="61">
        <v>1.0</v>
      </c>
      <c r="D175" s="62" t="s">
        <v>19</v>
      </c>
      <c r="E175" s="62" t="s">
        <v>50</v>
      </c>
      <c r="F175" s="61">
        <v>582.0</v>
      </c>
      <c r="G175" s="62"/>
      <c r="H175" s="62" t="s">
        <v>1600</v>
      </c>
      <c r="I175" s="62" t="s">
        <v>1601</v>
      </c>
      <c r="J175" s="61">
        <v>46.0</v>
      </c>
      <c r="K175" s="61">
        <v>6.0</v>
      </c>
      <c r="L175" s="61">
        <v>2.0</v>
      </c>
      <c r="M175" s="63"/>
      <c r="N175" s="63">
        <v>0.39652777777777776</v>
      </c>
      <c r="O175" s="65" t="s">
        <v>1603</v>
      </c>
      <c r="P175" s="63"/>
      <c r="Q175" s="63"/>
      <c r="R175" s="63">
        <v>0.46458333333333335</v>
      </c>
      <c r="S175" s="62"/>
      <c r="T175" s="65" t="s">
        <v>1605</v>
      </c>
      <c r="U175" s="62" t="s">
        <v>309</v>
      </c>
      <c r="V175" s="62" t="s">
        <v>1606</v>
      </c>
      <c r="W175" s="62"/>
      <c r="X175" s="62"/>
      <c r="Y175" s="62"/>
      <c r="Z175" s="62"/>
      <c r="AA175" s="62"/>
      <c r="AB175" s="62"/>
      <c r="AC175" s="62"/>
      <c r="AD175" s="62"/>
      <c r="AE175" s="62"/>
      <c r="AF175" s="62"/>
      <c r="AG175" s="62"/>
    </row>
    <row r="176">
      <c r="A176" s="61">
        <v>2021.0</v>
      </c>
      <c r="B176" s="61" t="s">
        <v>925</v>
      </c>
      <c r="C176" s="61">
        <v>1.0</v>
      </c>
      <c r="D176" s="62" t="s">
        <v>19</v>
      </c>
      <c r="E176" s="62" t="s">
        <v>50</v>
      </c>
      <c r="F176" s="61">
        <v>582.0</v>
      </c>
      <c r="G176" s="62"/>
      <c r="H176" s="62" t="s">
        <v>1600</v>
      </c>
      <c r="I176" s="62" t="s">
        <v>1601</v>
      </c>
      <c r="J176" s="61">
        <v>46.0</v>
      </c>
      <c r="K176" s="61">
        <v>6.0</v>
      </c>
      <c r="L176" s="61">
        <v>3.0</v>
      </c>
      <c r="M176" s="63"/>
      <c r="N176" s="63">
        <v>0.46458333333333335</v>
      </c>
      <c r="O176" s="65" t="s">
        <v>1605</v>
      </c>
      <c r="P176" s="63"/>
      <c r="Q176" s="63"/>
      <c r="R176" s="63">
        <v>0.5180555555555556</v>
      </c>
      <c r="S176" s="62"/>
      <c r="T176" s="65" t="s">
        <v>1611</v>
      </c>
      <c r="U176" s="62" t="s">
        <v>287</v>
      </c>
      <c r="V176" s="62" t="s">
        <v>1612</v>
      </c>
      <c r="W176" s="62"/>
      <c r="X176" s="62"/>
      <c r="Y176" s="62"/>
      <c r="Z176" s="62"/>
      <c r="AA176" s="62"/>
      <c r="AB176" s="62"/>
      <c r="AC176" s="62"/>
      <c r="AD176" s="62"/>
      <c r="AE176" s="62"/>
      <c r="AF176" s="62"/>
      <c r="AG176" s="62"/>
    </row>
    <row r="177">
      <c r="A177" s="61">
        <v>2021.0</v>
      </c>
      <c r="B177" s="61" t="s">
        <v>925</v>
      </c>
      <c r="C177" s="61">
        <v>1.0</v>
      </c>
      <c r="D177" s="62" t="s">
        <v>19</v>
      </c>
      <c r="E177" s="62" t="s">
        <v>50</v>
      </c>
      <c r="F177" s="61">
        <v>582.0</v>
      </c>
      <c r="G177" s="62"/>
      <c r="H177" s="62" t="s">
        <v>1600</v>
      </c>
      <c r="I177" s="62" t="s">
        <v>1601</v>
      </c>
      <c r="J177" s="61">
        <v>46.0</v>
      </c>
      <c r="K177" s="61">
        <v>6.0</v>
      </c>
      <c r="L177" s="61">
        <v>4.0</v>
      </c>
      <c r="M177" s="63"/>
      <c r="N177" s="63">
        <v>0.5180555555555556</v>
      </c>
      <c r="O177" s="65" t="s">
        <v>1611</v>
      </c>
      <c r="P177" s="63"/>
      <c r="Q177" s="63"/>
      <c r="R177" s="63">
        <v>0.6152777777777778</v>
      </c>
      <c r="S177" s="62"/>
      <c r="T177" s="65" t="s">
        <v>1613</v>
      </c>
      <c r="U177" s="62" t="s">
        <v>309</v>
      </c>
      <c r="V177" s="62" t="s">
        <v>422</v>
      </c>
      <c r="W177" s="62"/>
      <c r="X177" s="62"/>
      <c r="Y177" s="62"/>
      <c r="Z177" s="62"/>
      <c r="AA177" s="62"/>
      <c r="AB177" s="62"/>
      <c r="AC177" s="62"/>
      <c r="AD177" s="62"/>
      <c r="AE177" s="62"/>
      <c r="AF177" s="62"/>
      <c r="AG177" s="62"/>
    </row>
    <row r="178">
      <c r="A178" s="61">
        <v>2021.0</v>
      </c>
      <c r="B178" s="61" t="s">
        <v>925</v>
      </c>
      <c r="C178" s="61">
        <v>1.0</v>
      </c>
      <c r="D178" s="62" t="s">
        <v>19</v>
      </c>
      <c r="E178" s="62" t="s">
        <v>50</v>
      </c>
      <c r="F178" s="61">
        <v>582.0</v>
      </c>
      <c r="G178" s="62"/>
      <c r="H178" s="62" t="s">
        <v>1600</v>
      </c>
      <c r="I178" s="62" t="s">
        <v>1601</v>
      </c>
      <c r="J178" s="61">
        <v>46.0</v>
      </c>
      <c r="K178" s="61">
        <v>6.0</v>
      </c>
      <c r="L178" s="61">
        <v>5.0</v>
      </c>
      <c r="M178" s="63"/>
      <c r="N178" s="63">
        <v>0.6152777777777778</v>
      </c>
      <c r="O178" s="65" t="s">
        <v>1613</v>
      </c>
      <c r="P178" s="63"/>
      <c r="Q178" s="63"/>
      <c r="R178" s="63">
        <v>0.7013888888888888</v>
      </c>
      <c r="S178" s="62"/>
      <c r="T178" s="65" t="s">
        <v>1615</v>
      </c>
      <c r="U178" s="62" t="s">
        <v>309</v>
      </c>
      <c r="V178" s="62" t="s">
        <v>422</v>
      </c>
      <c r="W178" s="62"/>
      <c r="X178" s="62"/>
      <c r="Y178" s="62"/>
      <c r="Z178" s="62"/>
      <c r="AA178" s="62"/>
      <c r="AB178" s="62"/>
      <c r="AC178" s="62"/>
      <c r="AD178" s="62"/>
      <c r="AE178" s="62"/>
      <c r="AF178" s="62"/>
      <c r="AG178" s="62"/>
    </row>
    <row r="179">
      <c r="A179" s="61">
        <v>2021.0</v>
      </c>
      <c r="B179" s="61" t="s">
        <v>925</v>
      </c>
      <c r="C179" s="61">
        <v>1.0</v>
      </c>
      <c r="D179" s="62" t="s">
        <v>19</v>
      </c>
      <c r="E179" s="62" t="s">
        <v>50</v>
      </c>
      <c r="F179" s="61">
        <v>583.0</v>
      </c>
      <c r="G179" s="62"/>
      <c r="H179" s="62" t="s">
        <v>1616</v>
      </c>
      <c r="I179" s="62" t="s">
        <v>1617</v>
      </c>
      <c r="J179" s="61">
        <v>55.0</v>
      </c>
      <c r="K179" s="61">
        <v>7.0</v>
      </c>
      <c r="L179" s="61">
        <v>1.0</v>
      </c>
      <c r="M179" s="63"/>
      <c r="N179" s="63">
        <v>0.33402777777777776</v>
      </c>
      <c r="O179" s="65" t="s">
        <v>1618</v>
      </c>
      <c r="P179" s="63"/>
      <c r="Q179" s="63"/>
      <c r="R179" s="63">
        <v>0.4027777777777778</v>
      </c>
      <c r="S179" s="62"/>
      <c r="T179" s="65" t="s">
        <v>1620</v>
      </c>
      <c r="U179" s="62" t="s">
        <v>309</v>
      </c>
      <c r="V179" s="62" t="s">
        <v>1621</v>
      </c>
      <c r="W179" s="62"/>
      <c r="X179" s="62"/>
      <c r="Y179" s="62"/>
      <c r="Z179" s="62"/>
      <c r="AA179" s="62"/>
      <c r="AB179" s="62"/>
      <c r="AC179" s="62"/>
      <c r="AD179" s="62"/>
      <c r="AE179" s="62"/>
      <c r="AF179" s="62"/>
      <c r="AG179" s="62"/>
    </row>
    <row r="180">
      <c r="A180" s="61">
        <v>2021.0</v>
      </c>
      <c r="B180" s="61" t="s">
        <v>925</v>
      </c>
      <c r="C180" s="61">
        <v>1.0</v>
      </c>
      <c r="D180" s="62" t="s">
        <v>19</v>
      </c>
      <c r="E180" s="62" t="s">
        <v>50</v>
      </c>
      <c r="F180" s="61">
        <v>583.0</v>
      </c>
      <c r="G180" s="62"/>
      <c r="H180" s="62" t="s">
        <v>1616</v>
      </c>
      <c r="I180" s="62" t="s">
        <v>1617</v>
      </c>
      <c r="J180" s="61">
        <v>55.0</v>
      </c>
      <c r="K180" s="61">
        <v>7.0</v>
      </c>
      <c r="L180" s="61">
        <v>2.0</v>
      </c>
      <c r="M180" s="63"/>
      <c r="N180" s="63">
        <v>0.4027777777777778</v>
      </c>
      <c r="O180" s="65" t="s">
        <v>1620</v>
      </c>
      <c r="P180" s="63"/>
      <c r="Q180" s="63"/>
      <c r="R180" s="63">
        <v>0.4701388888888889</v>
      </c>
      <c r="S180" s="62"/>
      <c r="T180" s="65" t="s">
        <v>187</v>
      </c>
      <c r="U180" s="62" t="s">
        <v>309</v>
      </c>
      <c r="V180" s="62" t="s">
        <v>1622</v>
      </c>
      <c r="W180" s="62"/>
      <c r="X180" s="62"/>
      <c r="Y180" s="62"/>
      <c r="Z180" s="62"/>
      <c r="AA180" s="62"/>
      <c r="AB180" s="62"/>
      <c r="AC180" s="62"/>
      <c r="AD180" s="62"/>
      <c r="AE180" s="62"/>
      <c r="AF180" s="62"/>
      <c r="AG180" s="62"/>
    </row>
    <row r="181">
      <c r="A181" s="61">
        <v>2021.0</v>
      </c>
      <c r="B181" s="61" t="s">
        <v>925</v>
      </c>
      <c r="C181" s="61">
        <v>1.0</v>
      </c>
      <c r="D181" s="62" t="s">
        <v>19</v>
      </c>
      <c r="E181" s="62" t="s">
        <v>50</v>
      </c>
      <c r="F181" s="61">
        <v>583.0</v>
      </c>
      <c r="G181" s="62"/>
      <c r="H181" s="62" t="s">
        <v>1616</v>
      </c>
      <c r="I181" s="62" t="s">
        <v>1617</v>
      </c>
      <c r="J181" s="61">
        <v>55.0</v>
      </c>
      <c r="K181" s="61">
        <v>7.0</v>
      </c>
      <c r="L181" s="61">
        <v>3.0</v>
      </c>
      <c r="M181" s="63"/>
      <c r="N181" s="63">
        <v>0.4701388888888889</v>
      </c>
      <c r="O181" s="65" t="s">
        <v>187</v>
      </c>
      <c r="P181" s="63"/>
      <c r="Q181" s="63"/>
      <c r="R181" s="63">
        <v>0.5236111111111111</v>
      </c>
      <c r="S181" s="62"/>
      <c r="T181" s="65" t="s">
        <v>1624</v>
      </c>
      <c r="U181" s="62" t="s">
        <v>309</v>
      </c>
      <c r="V181" s="62" t="s">
        <v>422</v>
      </c>
      <c r="W181" s="62"/>
      <c r="X181" s="62"/>
      <c r="Y181" s="62"/>
      <c r="Z181" s="62"/>
      <c r="AA181" s="62"/>
      <c r="AB181" s="62"/>
      <c r="AC181" s="62"/>
      <c r="AD181" s="62"/>
      <c r="AE181" s="62"/>
      <c r="AF181" s="62"/>
      <c r="AG181" s="62"/>
    </row>
    <row r="182">
      <c r="A182" s="61">
        <v>2021.0</v>
      </c>
      <c r="B182" s="61" t="s">
        <v>925</v>
      </c>
      <c r="C182" s="61">
        <v>1.0</v>
      </c>
      <c r="D182" s="62" t="s">
        <v>19</v>
      </c>
      <c r="E182" s="62" t="s">
        <v>50</v>
      </c>
      <c r="F182" s="61">
        <v>583.0</v>
      </c>
      <c r="G182" s="62"/>
      <c r="H182" s="62" t="s">
        <v>1616</v>
      </c>
      <c r="I182" s="62" t="s">
        <v>1617</v>
      </c>
      <c r="J182" s="61">
        <v>55.0</v>
      </c>
      <c r="K182" s="61">
        <v>7.0</v>
      </c>
      <c r="L182" s="61">
        <v>4.0</v>
      </c>
      <c r="M182" s="63"/>
      <c r="N182" s="63">
        <v>0.5236111111111111</v>
      </c>
      <c r="O182" s="65" t="s">
        <v>1624</v>
      </c>
      <c r="P182" s="63"/>
      <c r="Q182" s="63"/>
      <c r="R182" s="63">
        <v>0.61875</v>
      </c>
      <c r="S182" s="62"/>
      <c r="T182" s="65" t="s">
        <v>1625</v>
      </c>
      <c r="U182" s="62" t="s">
        <v>309</v>
      </c>
      <c r="V182" s="62" t="s">
        <v>376</v>
      </c>
      <c r="W182" s="62"/>
      <c r="X182" s="62"/>
      <c r="Y182" s="62"/>
      <c r="Z182" s="62"/>
      <c r="AA182" s="62"/>
      <c r="AB182" s="62"/>
      <c r="AC182" s="62"/>
      <c r="AD182" s="62"/>
      <c r="AE182" s="62"/>
      <c r="AF182" s="62"/>
      <c r="AG182" s="62"/>
    </row>
    <row r="183">
      <c r="A183" s="61">
        <v>2021.0</v>
      </c>
      <c r="B183" s="61" t="s">
        <v>925</v>
      </c>
      <c r="C183" s="61">
        <v>1.0</v>
      </c>
      <c r="D183" s="62" t="s">
        <v>19</v>
      </c>
      <c r="E183" s="62" t="s">
        <v>50</v>
      </c>
      <c r="F183" s="61">
        <v>583.0</v>
      </c>
      <c r="G183" s="62"/>
      <c r="H183" s="62" t="s">
        <v>1616</v>
      </c>
      <c r="I183" s="62" t="s">
        <v>1617</v>
      </c>
      <c r="J183" s="61">
        <v>55.0</v>
      </c>
      <c r="K183" s="61">
        <v>7.0</v>
      </c>
      <c r="L183" s="61">
        <v>5.0</v>
      </c>
      <c r="M183" s="63"/>
      <c r="N183" s="63">
        <v>0.61875</v>
      </c>
      <c r="O183" s="65" t="s">
        <v>1625</v>
      </c>
      <c r="P183" s="63"/>
      <c r="Q183" s="63"/>
      <c r="R183" s="63">
        <v>0.7041666666666667</v>
      </c>
      <c r="S183" s="62"/>
      <c r="T183" s="65" t="s">
        <v>1627</v>
      </c>
      <c r="U183" s="62" t="s">
        <v>309</v>
      </c>
      <c r="V183" s="62" t="s">
        <v>376</v>
      </c>
      <c r="W183" s="62"/>
      <c r="X183" s="62"/>
      <c r="Y183" s="62"/>
      <c r="Z183" s="62"/>
      <c r="AA183" s="62"/>
      <c r="AB183" s="62"/>
      <c r="AC183" s="62"/>
      <c r="AD183" s="62"/>
      <c r="AE183" s="62"/>
      <c r="AF183" s="62"/>
      <c r="AG183" s="62"/>
    </row>
    <row r="184">
      <c r="A184" s="61">
        <v>2021.0</v>
      </c>
      <c r="B184" s="61" t="s">
        <v>925</v>
      </c>
      <c r="C184" s="61">
        <v>1.0</v>
      </c>
      <c r="D184" s="62" t="s">
        <v>19</v>
      </c>
      <c r="E184" s="62" t="s">
        <v>50</v>
      </c>
      <c r="F184" s="61">
        <v>584.0</v>
      </c>
      <c r="G184" s="62"/>
      <c r="H184" s="62" t="s">
        <v>1628</v>
      </c>
      <c r="I184" s="62" t="s">
        <v>1630</v>
      </c>
      <c r="J184" s="61">
        <v>68.0</v>
      </c>
      <c r="K184" s="61">
        <v>8.0</v>
      </c>
      <c r="L184" s="61">
        <v>1.0</v>
      </c>
      <c r="M184" s="63"/>
      <c r="N184" s="63">
        <v>0.33611111111111114</v>
      </c>
      <c r="O184" s="65" t="s">
        <v>1631</v>
      </c>
      <c r="P184" s="63"/>
      <c r="Q184" s="63"/>
      <c r="R184" s="63">
        <v>0.40902777777777777</v>
      </c>
      <c r="S184" s="62"/>
      <c r="T184" s="65" t="s">
        <v>1632</v>
      </c>
      <c r="U184" s="62" t="s">
        <v>267</v>
      </c>
      <c r="V184" s="62" t="s">
        <v>1633</v>
      </c>
      <c r="W184" s="62"/>
      <c r="X184" s="62"/>
      <c r="Y184" s="62"/>
      <c r="Z184" s="62"/>
      <c r="AA184" s="62"/>
      <c r="AB184" s="62"/>
      <c r="AC184" s="62"/>
      <c r="AD184" s="62"/>
      <c r="AE184" s="62"/>
      <c r="AF184" s="62"/>
      <c r="AG184" s="62"/>
    </row>
    <row r="185">
      <c r="A185" s="61">
        <v>2021.0</v>
      </c>
      <c r="B185" s="61" t="s">
        <v>925</v>
      </c>
      <c r="C185" s="61">
        <v>1.0</v>
      </c>
      <c r="D185" s="62" t="s">
        <v>19</v>
      </c>
      <c r="E185" s="62" t="s">
        <v>50</v>
      </c>
      <c r="F185" s="61">
        <v>584.0</v>
      </c>
      <c r="G185" s="62"/>
      <c r="H185" s="62" t="s">
        <v>1628</v>
      </c>
      <c r="I185" s="62" t="s">
        <v>1630</v>
      </c>
      <c r="J185" s="61">
        <v>68.0</v>
      </c>
      <c r="K185" s="61">
        <v>8.0</v>
      </c>
      <c r="L185" s="61">
        <v>2.0</v>
      </c>
      <c r="M185" s="63"/>
      <c r="N185" s="63">
        <v>0.40902777777777777</v>
      </c>
      <c r="O185" s="65" t="s">
        <v>1632</v>
      </c>
      <c r="P185" s="63"/>
      <c r="Q185" s="63"/>
      <c r="R185" s="63">
        <v>0.47430555555555554</v>
      </c>
      <c r="S185" s="62"/>
      <c r="T185" s="65" t="s">
        <v>1634</v>
      </c>
      <c r="U185" s="62" t="s">
        <v>309</v>
      </c>
      <c r="V185" s="62" t="s">
        <v>1635</v>
      </c>
      <c r="W185" s="62"/>
      <c r="X185" s="62"/>
      <c r="Y185" s="62"/>
      <c r="Z185" s="62"/>
      <c r="AA185" s="62"/>
      <c r="AB185" s="62"/>
      <c r="AC185" s="62"/>
      <c r="AD185" s="62"/>
      <c r="AE185" s="62"/>
      <c r="AF185" s="62"/>
      <c r="AG185" s="62"/>
    </row>
    <row r="186">
      <c r="A186" s="61">
        <v>2021.0</v>
      </c>
      <c r="B186" s="61" t="s">
        <v>925</v>
      </c>
      <c r="C186" s="61">
        <v>1.0</v>
      </c>
      <c r="D186" s="62" t="s">
        <v>19</v>
      </c>
      <c r="E186" s="62" t="s">
        <v>50</v>
      </c>
      <c r="F186" s="61">
        <v>584.0</v>
      </c>
      <c r="G186" s="62"/>
      <c r="H186" s="62" t="s">
        <v>1628</v>
      </c>
      <c r="I186" s="62" t="s">
        <v>1630</v>
      </c>
      <c r="J186" s="61">
        <v>68.0</v>
      </c>
      <c r="K186" s="61">
        <v>8.0</v>
      </c>
      <c r="L186" s="61">
        <v>3.0</v>
      </c>
      <c r="M186" s="63"/>
      <c r="N186" s="63">
        <v>0.47430555555555554</v>
      </c>
      <c r="O186" s="65" t="s">
        <v>1634</v>
      </c>
      <c r="P186" s="63"/>
      <c r="Q186" s="63"/>
      <c r="R186" s="63">
        <v>0.5277777777777778</v>
      </c>
      <c r="S186" s="62"/>
      <c r="T186" s="65" t="s">
        <v>1636</v>
      </c>
      <c r="U186" s="62" t="s">
        <v>309</v>
      </c>
      <c r="V186" s="62" t="s">
        <v>422</v>
      </c>
      <c r="W186" s="62"/>
      <c r="X186" s="62"/>
      <c r="Y186" s="62"/>
      <c r="Z186" s="62"/>
      <c r="AA186" s="62"/>
      <c r="AB186" s="62"/>
      <c r="AC186" s="62"/>
      <c r="AD186" s="62"/>
      <c r="AE186" s="62"/>
      <c r="AF186" s="62"/>
      <c r="AG186" s="62"/>
    </row>
    <row r="187">
      <c r="A187" s="61">
        <v>2021.0</v>
      </c>
      <c r="B187" s="61" t="s">
        <v>925</v>
      </c>
      <c r="C187" s="61">
        <v>1.0</v>
      </c>
      <c r="D187" s="62" t="s">
        <v>19</v>
      </c>
      <c r="E187" s="62" t="s">
        <v>50</v>
      </c>
      <c r="F187" s="61">
        <v>584.0</v>
      </c>
      <c r="G187" s="62"/>
      <c r="H187" s="62" t="s">
        <v>1628</v>
      </c>
      <c r="I187" s="62" t="s">
        <v>1630</v>
      </c>
      <c r="J187" s="61">
        <v>68.0</v>
      </c>
      <c r="K187" s="61">
        <v>8.0</v>
      </c>
      <c r="L187" s="61">
        <v>4.0</v>
      </c>
      <c r="M187" s="63"/>
      <c r="N187" s="63">
        <v>0.5277777777777778</v>
      </c>
      <c r="O187" s="65" t="s">
        <v>1636</v>
      </c>
      <c r="P187" s="63"/>
      <c r="Q187" s="63"/>
      <c r="R187" s="63">
        <v>0.6222222222222222</v>
      </c>
      <c r="S187" s="62"/>
      <c r="T187" s="65" t="s">
        <v>1637</v>
      </c>
      <c r="U187" s="62" t="s">
        <v>1638</v>
      </c>
      <c r="V187" s="62" t="s">
        <v>422</v>
      </c>
      <c r="W187" s="62"/>
      <c r="X187" s="62"/>
      <c r="Y187" s="62"/>
      <c r="Z187" s="62"/>
      <c r="AA187" s="62"/>
      <c r="AB187" s="62"/>
      <c r="AC187" s="62"/>
      <c r="AD187" s="62"/>
      <c r="AE187" s="62"/>
      <c r="AF187" s="62"/>
      <c r="AG187" s="62"/>
    </row>
    <row r="188">
      <c r="A188" s="61">
        <v>2021.0</v>
      </c>
      <c r="B188" s="61" t="s">
        <v>925</v>
      </c>
      <c r="C188" s="61">
        <v>1.0</v>
      </c>
      <c r="D188" s="62" t="s">
        <v>19</v>
      </c>
      <c r="E188" s="62" t="s">
        <v>50</v>
      </c>
      <c r="F188" s="61">
        <v>584.0</v>
      </c>
      <c r="G188" s="62"/>
      <c r="H188" s="62" t="s">
        <v>1628</v>
      </c>
      <c r="I188" s="62" t="s">
        <v>1630</v>
      </c>
      <c r="J188" s="61">
        <v>68.0</v>
      </c>
      <c r="K188" s="61">
        <v>8.0</v>
      </c>
      <c r="L188" s="61">
        <v>5.0</v>
      </c>
      <c r="M188" s="63"/>
      <c r="N188" s="63">
        <v>0.6222222222222222</v>
      </c>
      <c r="O188" s="65" t="s">
        <v>1637</v>
      </c>
      <c r="P188" s="63"/>
      <c r="Q188" s="63"/>
      <c r="R188" s="63">
        <v>0.70625</v>
      </c>
      <c r="S188" s="62"/>
      <c r="T188" s="65" t="s">
        <v>1639</v>
      </c>
      <c r="U188" s="62" t="s">
        <v>287</v>
      </c>
      <c r="V188" s="62" t="s">
        <v>411</v>
      </c>
      <c r="W188" s="62"/>
      <c r="X188" s="62"/>
      <c r="Y188" s="62"/>
      <c r="Z188" s="62"/>
      <c r="AA188" s="62"/>
      <c r="AB188" s="62"/>
      <c r="AC188" s="62"/>
      <c r="AD188" s="62"/>
      <c r="AE188" s="62"/>
      <c r="AF188" s="62"/>
      <c r="AG188" s="62"/>
    </row>
    <row r="189">
      <c r="A189" s="61">
        <v>2021.0</v>
      </c>
      <c r="B189" s="61" t="s">
        <v>925</v>
      </c>
      <c r="C189" s="61">
        <v>2.0</v>
      </c>
      <c r="D189" s="62" t="s">
        <v>19</v>
      </c>
      <c r="E189" s="62" t="s">
        <v>50</v>
      </c>
      <c r="F189" s="61">
        <v>39.0</v>
      </c>
      <c r="G189" s="62"/>
      <c r="H189" s="62" t="s">
        <v>1640</v>
      </c>
      <c r="I189" s="62" t="s">
        <v>1641</v>
      </c>
      <c r="J189" s="61">
        <v>57.0</v>
      </c>
      <c r="K189" s="61">
        <v>1.0</v>
      </c>
      <c r="L189" s="61">
        <v>1.0</v>
      </c>
      <c r="M189" s="63"/>
      <c r="N189" s="63">
        <v>0.3263888888888889</v>
      </c>
      <c r="O189" s="65" t="s">
        <v>1642</v>
      </c>
      <c r="P189" s="63"/>
      <c r="Q189" s="63"/>
      <c r="R189" s="63">
        <v>0.3972222222222222</v>
      </c>
      <c r="S189" s="62"/>
      <c r="T189" s="65" t="s">
        <v>722</v>
      </c>
      <c r="U189" s="62" t="s">
        <v>287</v>
      </c>
      <c r="V189" s="62" t="s">
        <v>1643</v>
      </c>
      <c r="W189" s="62"/>
      <c r="X189" s="62"/>
      <c r="Y189" s="62"/>
      <c r="Z189" s="62"/>
      <c r="AA189" s="62"/>
      <c r="AB189" s="62"/>
      <c r="AC189" s="62"/>
      <c r="AD189" s="62"/>
      <c r="AE189" s="62"/>
      <c r="AF189" s="62"/>
      <c r="AG189" s="62"/>
    </row>
    <row r="190">
      <c r="A190" s="61">
        <v>2021.0</v>
      </c>
      <c r="B190" s="61" t="s">
        <v>925</v>
      </c>
      <c r="C190" s="61">
        <v>2.0</v>
      </c>
      <c r="D190" s="62" t="s">
        <v>19</v>
      </c>
      <c r="E190" s="62" t="s">
        <v>50</v>
      </c>
      <c r="F190" s="61">
        <v>39.0</v>
      </c>
      <c r="G190" s="62"/>
      <c r="H190" s="62" t="s">
        <v>1640</v>
      </c>
      <c r="I190" s="62" t="s">
        <v>1641</v>
      </c>
      <c r="J190" s="61">
        <v>57.0</v>
      </c>
      <c r="K190" s="61">
        <v>1.0</v>
      </c>
      <c r="L190" s="61">
        <v>2.0</v>
      </c>
      <c r="M190" s="63"/>
      <c r="N190" s="63">
        <v>0.3972222222222222</v>
      </c>
      <c r="O190" s="65" t="s">
        <v>722</v>
      </c>
      <c r="P190" s="63"/>
      <c r="Q190" s="63"/>
      <c r="R190" s="63">
        <v>0.5201388888888889</v>
      </c>
      <c r="S190" s="62"/>
      <c r="T190" s="65" t="s">
        <v>1644</v>
      </c>
      <c r="U190" s="62" t="s">
        <v>287</v>
      </c>
      <c r="V190" s="62" t="s">
        <v>1645</v>
      </c>
      <c r="W190" s="62"/>
      <c r="X190" s="62"/>
      <c r="Y190" s="62"/>
      <c r="Z190" s="62"/>
      <c r="AA190" s="62"/>
      <c r="AB190" s="62"/>
      <c r="AC190" s="62"/>
      <c r="AD190" s="62"/>
      <c r="AE190" s="62"/>
      <c r="AF190" s="62"/>
      <c r="AG190" s="62"/>
    </row>
    <row r="191">
      <c r="A191" s="61">
        <v>2021.0</v>
      </c>
      <c r="B191" s="61" t="s">
        <v>925</v>
      </c>
      <c r="C191" s="61">
        <v>2.0</v>
      </c>
      <c r="D191" s="62" t="s">
        <v>19</v>
      </c>
      <c r="E191" s="62" t="s">
        <v>50</v>
      </c>
      <c r="F191" s="61">
        <v>39.0</v>
      </c>
      <c r="G191" s="62"/>
      <c r="H191" s="62" t="s">
        <v>1640</v>
      </c>
      <c r="I191" s="62" t="s">
        <v>1641</v>
      </c>
      <c r="J191" s="61">
        <v>57.0</v>
      </c>
      <c r="K191" s="61">
        <v>1.0</v>
      </c>
      <c r="L191" s="61">
        <v>3.0</v>
      </c>
      <c r="M191" s="63"/>
      <c r="N191" s="63">
        <v>0.5201388888888889</v>
      </c>
      <c r="O191" s="65" t="s">
        <v>1644</v>
      </c>
      <c r="P191" s="63"/>
      <c r="Q191" s="63"/>
      <c r="R191" s="63">
        <v>0.6097222222222223</v>
      </c>
      <c r="S191" s="62"/>
      <c r="T191" s="65" t="s">
        <v>1646</v>
      </c>
      <c r="U191" s="62" t="s">
        <v>267</v>
      </c>
      <c r="V191" s="62" t="s">
        <v>376</v>
      </c>
      <c r="W191" s="62"/>
      <c r="X191" s="62"/>
      <c r="Y191" s="62"/>
      <c r="Z191" s="62"/>
      <c r="AA191" s="62"/>
      <c r="AB191" s="62"/>
      <c r="AC191" s="62"/>
      <c r="AD191" s="62"/>
      <c r="AE191" s="62"/>
      <c r="AF191" s="62"/>
      <c r="AG191" s="62"/>
    </row>
    <row r="192">
      <c r="A192" s="61">
        <v>2021.0</v>
      </c>
      <c r="B192" s="61" t="s">
        <v>925</v>
      </c>
      <c r="C192" s="61">
        <v>2.0</v>
      </c>
      <c r="D192" s="62" t="s">
        <v>19</v>
      </c>
      <c r="E192" s="62" t="s">
        <v>50</v>
      </c>
      <c r="F192" s="61">
        <v>587.0</v>
      </c>
      <c r="G192" s="62"/>
      <c r="H192" s="62" t="s">
        <v>1647</v>
      </c>
      <c r="I192" s="62" t="s">
        <v>1648</v>
      </c>
      <c r="J192" s="61">
        <v>53.0</v>
      </c>
      <c r="K192" s="61">
        <v>2.0</v>
      </c>
      <c r="L192" s="61">
        <v>1.0</v>
      </c>
      <c r="M192" s="63"/>
      <c r="N192" s="63">
        <v>0.3263888888888889</v>
      </c>
      <c r="O192" s="65" t="s">
        <v>1642</v>
      </c>
      <c r="P192" s="63"/>
      <c r="Q192" s="63"/>
      <c r="R192" s="63">
        <v>0.3972222222222222</v>
      </c>
      <c r="S192" s="62"/>
      <c r="T192" s="65" t="s">
        <v>722</v>
      </c>
      <c r="U192" s="62" t="s">
        <v>309</v>
      </c>
      <c r="V192" s="62" t="s">
        <v>376</v>
      </c>
      <c r="W192" s="62"/>
      <c r="X192" s="62"/>
      <c r="Y192" s="62"/>
      <c r="Z192" s="62"/>
      <c r="AA192" s="62"/>
      <c r="AB192" s="62"/>
      <c r="AC192" s="62"/>
      <c r="AD192" s="62"/>
      <c r="AE192" s="62"/>
      <c r="AF192" s="62"/>
      <c r="AG192" s="62"/>
    </row>
    <row r="193">
      <c r="A193" s="61">
        <v>2021.0</v>
      </c>
      <c r="B193" s="61" t="s">
        <v>925</v>
      </c>
      <c r="C193" s="61">
        <v>2.0</v>
      </c>
      <c r="D193" s="62" t="s">
        <v>19</v>
      </c>
      <c r="E193" s="62" t="s">
        <v>50</v>
      </c>
      <c r="F193" s="61">
        <v>587.0</v>
      </c>
      <c r="G193" s="62"/>
      <c r="H193" s="62" t="s">
        <v>1647</v>
      </c>
      <c r="I193" s="62" t="s">
        <v>1648</v>
      </c>
      <c r="J193" s="61">
        <v>53.0</v>
      </c>
      <c r="K193" s="61">
        <v>2.0</v>
      </c>
      <c r="L193" s="61">
        <v>2.0</v>
      </c>
      <c r="M193" s="63"/>
      <c r="N193" s="63">
        <v>0.3972222222222222</v>
      </c>
      <c r="O193" s="65" t="s">
        <v>722</v>
      </c>
      <c r="P193" s="63"/>
      <c r="Q193" s="63"/>
      <c r="R193" s="63">
        <v>0.5201388888888889</v>
      </c>
      <c r="S193" s="62"/>
      <c r="T193" s="65" t="s">
        <v>1644</v>
      </c>
      <c r="U193" s="62"/>
      <c r="V193" s="62" t="s">
        <v>422</v>
      </c>
      <c r="W193" s="62"/>
      <c r="X193" s="62"/>
      <c r="Y193" s="62"/>
      <c r="Z193" s="62"/>
      <c r="AA193" s="62"/>
      <c r="AB193" s="62"/>
      <c r="AC193" s="62"/>
      <c r="AD193" s="62"/>
      <c r="AE193" s="62"/>
      <c r="AF193" s="62"/>
      <c r="AG193" s="62"/>
    </row>
    <row r="194">
      <c r="A194" s="61">
        <v>2021.0</v>
      </c>
      <c r="B194" s="61" t="s">
        <v>925</v>
      </c>
      <c r="C194" s="61">
        <v>2.0</v>
      </c>
      <c r="D194" s="62" t="s">
        <v>19</v>
      </c>
      <c r="E194" s="62" t="s">
        <v>50</v>
      </c>
      <c r="F194" s="61">
        <v>587.0</v>
      </c>
      <c r="G194" s="62"/>
      <c r="H194" s="62" t="s">
        <v>1647</v>
      </c>
      <c r="I194" s="62" t="s">
        <v>1648</v>
      </c>
      <c r="J194" s="61">
        <v>53.0</v>
      </c>
      <c r="K194" s="61">
        <v>2.0</v>
      </c>
      <c r="L194" s="61">
        <v>3.0</v>
      </c>
      <c r="M194" s="63"/>
      <c r="N194" s="63">
        <v>0.5201388888888889</v>
      </c>
      <c r="O194" s="65" t="s">
        <v>1644</v>
      </c>
      <c r="P194" s="63"/>
      <c r="Q194" s="63"/>
      <c r="R194" s="63">
        <v>0.6097222222222223</v>
      </c>
      <c r="S194" s="62"/>
      <c r="T194" s="65" t="s">
        <v>1646</v>
      </c>
      <c r="U194" s="62" t="s">
        <v>267</v>
      </c>
      <c r="V194" s="62" t="s">
        <v>376</v>
      </c>
      <c r="W194" s="62"/>
      <c r="X194" s="62"/>
      <c r="Y194" s="62"/>
      <c r="Z194" s="62"/>
      <c r="AA194" s="62"/>
      <c r="AB194" s="62"/>
      <c r="AC194" s="62"/>
      <c r="AD194" s="62"/>
      <c r="AE194" s="62"/>
      <c r="AF194" s="62"/>
      <c r="AG194" s="62"/>
    </row>
    <row r="195">
      <c r="A195" s="61">
        <v>2021.0</v>
      </c>
      <c r="B195" s="61" t="s">
        <v>925</v>
      </c>
      <c r="C195" s="61">
        <v>2.0</v>
      </c>
      <c r="D195" s="62" t="s">
        <v>19</v>
      </c>
      <c r="E195" s="62" t="s">
        <v>50</v>
      </c>
      <c r="F195" s="61">
        <v>588.0</v>
      </c>
      <c r="G195" s="62"/>
      <c r="H195" s="62" t="s">
        <v>1650</v>
      </c>
      <c r="I195" s="62" t="s">
        <v>1651</v>
      </c>
      <c r="J195" s="61">
        <v>60.0</v>
      </c>
      <c r="K195" s="61">
        <v>3.0</v>
      </c>
      <c r="L195" s="61">
        <v>1.0</v>
      </c>
      <c r="M195" s="63"/>
      <c r="N195" s="63">
        <v>0.3298611111111111</v>
      </c>
      <c r="O195" s="65" t="s">
        <v>1652</v>
      </c>
      <c r="P195" s="63"/>
      <c r="Q195" s="63"/>
      <c r="R195" s="63">
        <v>0.4013888888888889</v>
      </c>
      <c r="S195" s="62"/>
      <c r="T195" s="65" t="s">
        <v>1653</v>
      </c>
      <c r="U195" s="62" t="s">
        <v>267</v>
      </c>
      <c r="V195" s="62" t="s">
        <v>376</v>
      </c>
      <c r="W195" s="62"/>
      <c r="X195" s="62"/>
      <c r="Y195" s="62"/>
      <c r="Z195" s="62"/>
      <c r="AA195" s="62"/>
      <c r="AB195" s="62"/>
      <c r="AC195" s="62"/>
      <c r="AD195" s="62"/>
      <c r="AE195" s="62"/>
      <c r="AF195" s="62"/>
      <c r="AG195" s="62"/>
    </row>
    <row r="196">
      <c r="A196" s="61">
        <v>2021.0</v>
      </c>
      <c r="B196" s="61" t="s">
        <v>925</v>
      </c>
      <c r="C196" s="61">
        <v>2.0</v>
      </c>
      <c r="D196" s="62" t="s">
        <v>19</v>
      </c>
      <c r="E196" s="62" t="s">
        <v>50</v>
      </c>
      <c r="F196" s="61">
        <v>588.0</v>
      </c>
      <c r="G196" s="62"/>
      <c r="H196" s="62" t="s">
        <v>1650</v>
      </c>
      <c r="I196" s="62" t="s">
        <v>1651</v>
      </c>
      <c r="J196" s="61">
        <v>60.0</v>
      </c>
      <c r="K196" s="61">
        <v>3.0</v>
      </c>
      <c r="L196" s="61">
        <v>2.0</v>
      </c>
      <c r="M196" s="63"/>
      <c r="N196" s="63">
        <v>0.4013888888888889</v>
      </c>
      <c r="O196" s="65" t="s">
        <v>1653</v>
      </c>
      <c r="P196" s="63"/>
      <c r="Q196" s="63"/>
      <c r="R196" s="63">
        <v>0.5381944444444444</v>
      </c>
      <c r="S196" s="62"/>
      <c r="T196" s="65" t="s">
        <v>1654</v>
      </c>
      <c r="U196" s="62"/>
      <c r="V196" s="62" t="s">
        <v>411</v>
      </c>
      <c r="W196" s="62"/>
      <c r="X196" s="62"/>
      <c r="Y196" s="62"/>
      <c r="Z196" s="62"/>
      <c r="AA196" s="62"/>
      <c r="AB196" s="62"/>
      <c r="AC196" s="62"/>
      <c r="AD196" s="62"/>
      <c r="AE196" s="62"/>
      <c r="AF196" s="62"/>
      <c r="AG196" s="62"/>
    </row>
    <row r="197">
      <c r="A197" s="61">
        <v>2021.0</v>
      </c>
      <c r="B197" s="61" t="s">
        <v>925</v>
      </c>
      <c r="C197" s="61">
        <v>2.0</v>
      </c>
      <c r="D197" s="62" t="s">
        <v>19</v>
      </c>
      <c r="E197" s="62" t="s">
        <v>50</v>
      </c>
      <c r="F197" s="61">
        <v>588.0</v>
      </c>
      <c r="G197" s="62"/>
      <c r="H197" s="62" t="s">
        <v>1650</v>
      </c>
      <c r="I197" s="62" t="s">
        <v>1651</v>
      </c>
      <c r="J197" s="61">
        <v>60.0</v>
      </c>
      <c r="K197" s="61">
        <v>3.0</v>
      </c>
      <c r="L197" s="61">
        <v>3.0</v>
      </c>
      <c r="M197" s="63"/>
      <c r="N197" s="63">
        <v>0.5381944444444444</v>
      </c>
      <c r="O197" s="65" t="s">
        <v>1654</v>
      </c>
      <c r="P197" s="63"/>
      <c r="Q197" s="63"/>
      <c r="R197" s="63">
        <v>0.6125</v>
      </c>
      <c r="S197" s="62"/>
      <c r="T197" s="65" t="s">
        <v>1655</v>
      </c>
      <c r="U197" s="62" t="s">
        <v>1638</v>
      </c>
      <c r="V197" s="62" t="s">
        <v>376</v>
      </c>
      <c r="W197" s="62"/>
      <c r="X197" s="62"/>
      <c r="Y197" s="62"/>
      <c r="Z197" s="62"/>
      <c r="AA197" s="62"/>
      <c r="AB197" s="62"/>
      <c r="AC197" s="62"/>
      <c r="AD197" s="62"/>
      <c r="AE197" s="62"/>
      <c r="AF197" s="62"/>
      <c r="AG197" s="62"/>
    </row>
    <row r="198">
      <c r="A198" s="61">
        <v>2021.0</v>
      </c>
      <c r="B198" s="61" t="s">
        <v>925</v>
      </c>
      <c r="C198" s="61">
        <v>2.0</v>
      </c>
      <c r="D198" s="62" t="s">
        <v>19</v>
      </c>
      <c r="E198" s="62" t="s">
        <v>50</v>
      </c>
      <c r="F198" s="61">
        <v>589.0</v>
      </c>
      <c r="G198" s="62"/>
      <c r="H198" s="62" t="s">
        <v>1656</v>
      </c>
      <c r="I198" s="62" t="s">
        <v>1657</v>
      </c>
      <c r="J198" s="61">
        <v>60.0</v>
      </c>
      <c r="K198" s="61">
        <v>4.0</v>
      </c>
      <c r="L198" s="61">
        <v>1.0</v>
      </c>
      <c r="M198" s="63"/>
      <c r="N198" s="63">
        <v>0.33402777777777776</v>
      </c>
      <c r="O198" s="65" t="s">
        <v>1618</v>
      </c>
      <c r="P198" s="63"/>
      <c r="Q198" s="63"/>
      <c r="R198" s="63">
        <v>0.40347222222222223</v>
      </c>
      <c r="S198" s="62"/>
      <c r="T198" s="65" t="s">
        <v>621</v>
      </c>
      <c r="U198" s="62" t="s">
        <v>287</v>
      </c>
      <c r="V198" s="62" t="s">
        <v>376</v>
      </c>
      <c r="W198" s="62" t="s">
        <v>1658</v>
      </c>
      <c r="X198" s="62"/>
      <c r="Y198" s="62"/>
      <c r="Z198" s="62"/>
      <c r="AA198" s="62"/>
      <c r="AB198" s="62"/>
      <c r="AC198" s="62"/>
      <c r="AD198" s="62"/>
      <c r="AE198" s="62"/>
      <c r="AF198" s="62"/>
      <c r="AG198" s="62"/>
    </row>
    <row r="199">
      <c r="A199" s="61">
        <v>2021.0</v>
      </c>
      <c r="B199" s="61" t="s">
        <v>925</v>
      </c>
      <c r="C199" s="61">
        <v>2.0</v>
      </c>
      <c r="D199" s="62" t="s">
        <v>19</v>
      </c>
      <c r="E199" s="62" t="s">
        <v>50</v>
      </c>
      <c r="F199" s="61">
        <v>589.0</v>
      </c>
      <c r="G199" s="62"/>
      <c r="H199" s="62" t="s">
        <v>1656</v>
      </c>
      <c r="I199" s="62" t="s">
        <v>1657</v>
      </c>
      <c r="J199" s="61">
        <v>60.0</v>
      </c>
      <c r="K199" s="61">
        <v>4.0</v>
      </c>
      <c r="L199" s="61">
        <v>2.0</v>
      </c>
      <c r="M199" s="63"/>
      <c r="N199" s="63">
        <v>0.40347222222222223</v>
      </c>
      <c r="O199" s="65" t="s">
        <v>621</v>
      </c>
      <c r="P199" s="63"/>
      <c r="Q199" s="63"/>
      <c r="R199" s="63">
        <v>0.5395833333333333</v>
      </c>
      <c r="S199" s="62"/>
      <c r="T199" s="65" t="s">
        <v>1659</v>
      </c>
      <c r="U199" s="62"/>
      <c r="V199" s="62" t="s">
        <v>376</v>
      </c>
      <c r="W199" s="62"/>
      <c r="X199" s="62"/>
      <c r="Y199" s="62"/>
      <c r="Z199" s="62"/>
      <c r="AA199" s="62"/>
      <c r="AB199" s="62"/>
      <c r="AC199" s="62"/>
      <c r="AD199" s="62"/>
      <c r="AE199" s="62"/>
      <c r="AF199" s="62"/>
      <c r="AG199" s="62"/>
    </row>
    <row r="200">
      <c r="A200" s="61">
        <v>2021.0</v>
      </c>
      <c r="B200" s="61" t="s">
        <v>925</v>
      </c>
      <c r="C200" s="61">
        <v>2.0</v>
      </c>
      <c r="D200" s="62" t="s">
        <v>19</v>
      </c>
      <c r="E200" s="62" t="s">
        <v>50</v>
      </c>
      <c r="F200" s="61">
        <v>589.0</v>
      </c>
      <c r="G200" s="62"/>
      <c r="H200" s="62" t="s">
        <v>1656</v>
      </c>
      <c r="I200" s="62" t="s">
        <v>1657</v>
      </c>
      <c r="J200" s="61">
        <v>60.0</v>
      </c>
      <c r="K200" s="61">
        <v>4.0</v>
      </c>
      <c r="L200" s="61">
        <v>3.0</v>
      </c>
      <c r="M200" s="63"/>
      <c r="N200" s="63">
        <v>0.5395833333333333</v>
      </c>
      <c r="O200" s="65" t="s">
        <v>1659</v>
      </c>
      <c r="P200" s="63"/>
      <c r="Q200" s="63"/>
      <c r="R200" s="63">
        <v>0.6138888888888889</v>
      </c>
      <c r="S200" s="62"/>
      <c r="T200" s="65" t="s">
        <v>1660</v>
      </c>
      <c r="U200" s="62"/>
      <c r="V200" s="62" t="s">
        <v>376</v>
      </c>
      <c r="W200" s="62"/>
      <c r="X200" s="62"/>
      <c r="Y200" s="62"/>
      <c r="Z200" s="62"/>
      <c r="AA200" s="62"/>
      <c r="AB200" s="62"/>
      <c r="AC200" s="62"/>
      <c r="AD200" s="62"/>
      <c r="AE200" s="62"/>
      <c r="AF200" s="62"/>
      <c r="AG200" s="62"/>
    </row>
    <row r="201">
      <c r="A201" s="61">
        <v>2021.0</v>
      </c>
      <c r="B201" s="61" t="s">
        <v>925</v>
      </c>
      <c r="C201" s="61">
        <v>2.0</v>
      </c>
      <c r="D201" s="62" t="s">
        <v>19</v>
      </c>
      <c r="E201" s="62" t="s">
        <v>50</v>
      </c>
      <c r="F201" s="61">
        <v>590.0</v>
      </c>
      <c r="G201" s="62"/>
      <c r="H201" s="62" t="s">
        <v>1661</v>
      </c>
      <c r="I201" s="62" t="s">
        <v>1662</v>
      </c>
      <c r="J201" s="61">
        <v>59.0</v>
      </c>
      <c r="K201" s="61">
        <v>5.0</v>
      </c>
      <c r="L201" s="61">
        <v>1.0</v>
      </c>
      <c r="M201" s="63"/>
      <c r="N201" s="63">
        <v>0.33541666666666664</v>
      </c>
      <c r="O201" s="65" t="s">
        <v>1663</v>
      </c>
      <c r="P201" s="63"/>
      <c r="Q201" s="63"/>
      <c r="R201" s="63">
        <v>0.4076388888888889</v>
      </c>
      <c r="S201" s="62"/>
      <c r="T201" s="65" t="s">
        <v>1664</v>
      </c>
      <c r="U201" s="62" t="s">
        <v>309</v>
      </c>
      <c r="V201" s="62" t="s">
        <v>376</v>
      </c>
      <c r="W201" s="62"/>
      <c r="X201" s="62"/>
      <c r="Y201" s="62"/>
      <c r="Z201" s="62"/>
      <c r="AA201" s="62"/>
      <c r="AB201" s="62"/>
      <c r="AC201" s="62"/>
      <c r="AD201" s="62"/>
      <c r="AE201" s="62"/>
      <c r="AF201" s="62"/>
      <c r="AG201" s="62"/>
    </row>
    <row r="202">
      <c r="A202" s="61">
        <v>2021.0</v>
      </c>
      <c r="B202" s="61" t="s">
        <v>925</v>
      </c>
      <c r="C202" s="61">
        <v>2.0</v>
      </c>
      <c r="D202" s="62" t="s">
        <v>19</v>
      </c>
      <c r="E202" s="62" t="s">
        <v>50</v>
      </c>
      <c r="F202" s="61">
        <v>590.0</v>
      </c>
      <c r="G202" s="62"/>
      <c r="H202" s="62" t="s">
        <v>1661</v>
      </c>
      <c r="I202" s="62" t="s">
        <v>1662</v>
      </c>
      <c r="J202" s="61">
        <v>59.0</v>
      </c>
      <c r="K202" s="61">
        <v>5.0</v>
      </c>
      <c r="L202" s="61">
        <v>2.0</v>
      </c>
      <c r="M202" s="63"/>
      <c r="N202" s="63">
        <v>0.4076388888888889</v>
      </c>
      <c r="O202" s="65" t="s">
        <v>1664</v>
      </c>
      <c r="P202" s="63"/>
      <c r="Q202" s="63"/>
      <c r="R202" s="63">
        <v>0.5409722222222222</v>
      </c>
      <c r="S202" s="62"/>
      <c r="T202" s="65" t="s">
        <v>1665</v>
      </c>
      <c r="U202" s="62"/>
      <c r="V202" s="62" t="s">
        <v>376</v>
      </c>
      <c r="W202" s="62"/>
      <c r="X202" s="62"/>
      <c r="Y202" s="62"/>
      <c r="Z202" s="62"/>
      <c r="AA202" s="62"/>
      <c r="AB202" s="62"/>
      <c r="AC202" s="62"/>
      <c r="AD202" s="62"/>
      <c r="AE202" s="62"/>
      <c r="AF202" s="62"/>
      <c r="AG202" s="62"/>
    </row>
    <row r="203">
      <c r="A203" s="61">
        <v>2021.0</v>
      </c>
      <c r="B203" s="61" t="s">
        <v>925</v>
      </c>
      <c r="C203" s="61">
        <v>2.0</v>
      </c>
      <c r="D203" s="62" t="s">
        <v>19</v>
      </c>
      <c r="E203" s="62" t="s">
        <v>50</v>
      </c>
      <c r="F203" s="61">
        <v>590.0</v>
      </c>
      <c r="G203" s="62"/>
      <c r="H203" s="62" t="s">
        <v>1661</v>
      </c>
      <c r="I203" s="62" t="s">
        <v>1662</v>
      </c>
      <c r="J203" s="61">
        <v>59.0</v>
      </c>
      <c r="K203" s="61">
        <v>5.0</v>
      </c>
      <c r="L203" s="61">
        <v>3.0</v>
      </c>
      <c r="M203" s="63"/>
      <c r="N203" s="63">
        <v>0.5409722222222222</v>
      </c>
      <c r="O203" s="65" t="s">
        <v>1665</v>
      </c>
      <c r="P203" s="63"/>
      <c r="Q203" s="63"/>
      <c r="R203" s="63">
        <v>0.6159722222222223</v>
      </c>
      <c r="S203" s="62"/>
      <c r="T203" s="65" t="s">
        <v>1666</v>
      </c>
      <c r="U203" s="62"/>
      <c r="V203" s="62" t="s">
        <v>376</v>
      </c>
      <c r="W203" s="62"/>
      <c r="X203" s="62"/>
      <c r="Y203" s="62"/>
      <c r="Z203" s="62"/>
      <c r="AA203" s="62"/>
      <c r="AB203" s="62"/>
      <c r="AC203" s="62"/>
      <c r="AD203" s="62"/>
      <c r="AE203" s="62"/>
      <c r="AF203" s="62"/>
      <c r="AG203" s="62"/>
    </row>
    <row r="204">
      <c r="A204" s="61">
        <v>2021.0</v>
      </c>
      <c r="B204" s="61" t="s">
        <v>925</v>
      </c>
      <c r="C204" s="61">
        <v>2.0</v>
      </c>
      <c r="D204" s="62" t="s">
        <v>19</v>
      </c>
      <c r="E204" s="62" t="s">
        <v>50</v>
      </c>
      <c r="F204" s="61">
        <v>590.0</v>
      </c>
      <c r="G204" s="62"/>
      <c r="H204" s="62" t="s">
        <v>1661</v>
      </c>
      <c r="I204" s="62" t="s">
        <v>1662</v>
      </c>
      <c r="J204" s="61">
        <v>59.0</v>
      </c>
      <c r="K204" s="61">
        <v>5.0</v>
      </c>
      <c r="L204" s="61">
        <v>4.0</v>
      </c>
      <c r="M204" s="63"/>
      <c r="N204" s="63">
        <v>0.6159722222222223</v>
      </c>
      <c r="O204" s="65" t="s">
        <v>1666</v>
      </c>
      <c r="P204" s="63"/>
      <c r="Q204" s="63"/>
      <c r="R204" s="63">
        <v>0.6645833333333333</v>
      </c>
      <c r="S204" s="62"/>
      <c r="T204" s="65" t="s">
        <v>294</v>
      </c>
      <c r="U204" s="62" t="s">
        <v>287</v>
      </c>
      <c r="V204" s="62" t="s">
        <v>411</v>
      </c>
      <c r="W204" s="62"/>
      <c r="X204" s="62"/>
      <c r="Y204" s="62"/>
      <c r="Z204" s="62"/>
      <c r="AA204" s="62"/>
      <c r="AB204" s="62"/>
      <c r="AC204" s="62"/>
      <c r="AD204" s="62"/>
      <c r="AE204" s="62"/>
      <c r="AF204" s="62"/>
      <c r="AG204" s="62"/>
    </row>
    <row r="205">
      <c r="A205" s="61">
        <v>2021.0</v>
      </c>
      <c r="B205" s="61" t="s">
        <v>925</v>
      </c>
      <c r="C205" s="61">
        <v>2.0</v>
      </c>
      <c r="D205" s="62" t="s">
        <v>19</v>
      </c>
      <c r="E205" s="62" t="s">
        <v>50</v>
      </c>
      <c r="F205" s="61">
        <v>591.0</v>
      </c>
      <c r="G205" s="62"/>
      <c r="H205" s="62" t="s">
        <v>1668</v>
      </c>
      <c r="I205" s="62" t="s">
        <v>1669</v>
      </c>
      <c r="J205" s="61">
        <v>74.0</v>
      </c>
      <c r="K205" s="61">
        <v>6.0</v>
      </c>
      <c r="L205" s="61">
        <v>1.0</v>
      </c>
      <c r="M205" s="63"/>
      <c r="N205" s="63">
        <v>0.3368055555555556</v>
      </c>
      <c r="O205" s="65" t="s">
        <v>1670</v>
      </c>
      <c r="P205" s="63"/>
      <c r="Q205" s="63"/>
      <c r="R205" s="63">
        <v>0.40902777777777777</v>
      </c>
      <c r="S205" s="62"/>
      <c r="T205" s="65" t="s">
        <v>1632</v>
      </c>
      <c r="U205" s="62" t="s">
        <v>267</v>
      </c>
      <c r="V205" s="62" t="s">
        <v>376</v>
      </c>
      <c r="W205" s="62"/>
      <c r="X205" s="62"/>
      <c r="Y205" s="62"/>
      <c r="Z205" s="62"/>
      <c r="AA205" s="62"/>
      <c r="AB205" s="62"/>
      <c r="AC205" s="62"/>
      <c r="AD205" s="62"/>
      <c r="AE205" s="62"/>
      <c r="AF205" s="62"/>
      <c r="AG205" s="62"/>
    </row>
    <row r="206">
      <c r="A206" s="61">
        <v>2021.0</v>
      </c>
      <c r="B206" s="61" t="s">
        <v>925</v>
      </c>
      <c r="C206" s="61">
        <v>2.0</v>
      </c>
      <c r="D206" s="62" t="s">
        <v>19</v>
      </c>
      <c r="E206" s="62" t="s">
        <v>50</v>
      </c>
      <c r="F206" s="61">
        <v>591.0</v>
      </c>
      <c r="G206" s="62"/>
      <c r="H206" s="62" t="s">
        <v>1668</v>
      </c>
      <c r="I206" s="62" t="s">
        <v>1669</v>
      </c>
      <c r="J206" s="61">
        <v>74.0</v>
      </c>
      <c r="K206" s="61">
        <v>6.0</v>
      </c>
      <c r="L206" s="61">
        <v>2.0</v>
      </c>
      <c r="M206" s="63"/>
      <c r="N206" s="63">
        <v>0.40902777777777777</v>
      </c>
      <c r="O206" s="65" t="s">
        <v>1632</v>
      </c>
      <c r="P206" s="63"/>
      <c r="Q206" s="63"/>
      <c r="R206" s="63">
        <v>0.5423611111111111</v>
      </c>
      <c r="S206" s="62"/>
      <c r="T206" s="65" t="s">
        <v>1671</v>
      </c>
      <c r="U206" s="62"/>
      <c r="V206" s="62" t="s">
        <v>411</v>
      </c>
      <c r="W206" s="62"/>
      <c r="X206" s="62"/>
      <c r="Y206" s="62"/>
      <c r="Z206" s="62"/>
      <c r="AA206" s="62"/>
      <c r="AB206" s="62"/>
      <c r="AC206" s="62"/>
      <c r="AD206" s="62"/>
      <c r="AE206" s="62"/>
      <c r="AF206" s="62"/>
      <c r="AG206" s="62"/>
    </row>
    <row r="207">
      <c r="A207" s="61">
        <v>2021.0</v>
      </c>
      <c r="B207" s="61" t="s">
        <v>925</v>
      </c>
      <c r="C207" s="61">
        <v>2.0</v>
      </c>
      <c r="D207" s="62" t="s">
        <v>19</v>
      </c>
      <c r="E207" s="62" t="s">
        <v>50</v>
      </c>
      <c r="F207" s="61">
        <v>591.0</v>
      </c>
      <c r="G207" s="62"/>
      <c r="H207" s="62" t="s">
        <v>1668</v>
      </c>
      <c r="I207" s="62" t="s">
        <v>1669</v>
      </c>
      <c r="J207" s="61">
        <v>74.0</v>
      </c>
      <c r="K207" s="61">
        <v>6.0</v>
      </c>
      <c r="L207" s="61">
        <v>3.0</v>
      </c>
      <c r="M207" s="63"/>
      <c r="N207" s="63">
        <v>0.5423611111111111</v>
      </c>
      <c r="O207" s="65" t="s">
        <v>1671</v>
      </c>
      <c r="P207" s="63"/>
      <c r="Q207" s="63"/>
      <c r="R207" s="63">
        <v>0.6201388888888889</v>
      </c>
      <c r="S207" s="62"/>
      <c r="T207" s="65" t="s">
        <v>1673</v>
      </c>
      <c r="U207" s="62" t="s">
        <v>309</v>
      </c>
      <c r="V207" s="62" t="s">
        <v>1674</v>
      </c>
      <c r="W207" s="62" t="s">
        <v>523</v>
      </c>
      <c r="X207" s="62"/>
      <c r="Y207" s="62"/>
      <c r="Z207" s="62"/>
      <c r="AA207" s="62"/>
      <c r="AB207" s="62"/>
      <c r="AC207" s="62"/>
      <c r="AD207" s="62"/>
      <c r="AE207" s="62"/>
      <c r="AF207" s="62"/>
      <c r="AG207" s="62"/>
    </row>
    <row r="208">
      <c r="A208" s="61">
        <v>2021.0</v>
      </c>
      <c r="B208" s="61" t="s">
        <v>925</v>
      </c>
      <c r="C208" s="61">
        <v>2.0</v>
      </c>
      <c r="D208" s="62" t="s">
        <v>19</v>
      </c>
      <c r="E208" s="62" t="s">
        <v>50</v>
      </c>
      <c r="F208" s="61">
        <v>591.0</v>
      </c>
      <c r="G208" s="62"/>
      <c r="H208" s="62" t="s">
        <v>1668</v>
      </c>
      <c r="I208" s="62" t="s">
        <v>1669</v>
      </c>
      <c r="J208" s="61">
        <v>74.0</v>
      </c>
      <c r="K208" s="61">
        <v>6.0</v>
      </c>
      <c r="L208" s="61">
        <v>4.0</v>
      </c>
      <c r="M208" s="63"/>
      <c r="N208" s="63">
        <v>0.6201388888888889</v>
      </c>
      <c r="O208" s="65" t="s">
        <v>1673</v>
      </c>
      <c r="P208" s="63"/>
      <c r="Q208" s="63"/>
      <c r="R208" s="63">
        <v>0.6673611111111111</v>
      </c>
      <c r="S208" s="62"/>
      <c r="T208" s="65" t="s">
        <v>1675</v>
      </c>
      <c r="U208" s="62" t="s">
        <v>267</v>
      </c>
      <c r="V208" s="62" t="s">
        <v>376</v>
      </c>
      <c r="W208" s="62"/>
      <c r="X208" s="62"/>
      <c r="Y208" s="62"/>
      <c r="Z208" s="62"/>
      <c r="AA208" s="62"/>
      <c r="AB208" s="62"/>
      <c r="AC208" s="62"/>
      <c r="AD208" s="62"/>
      <c r="AE208" s="62"/>
      <c r="AF208" s="62"/>
      <c r="AG208" s="62"/>
    </row>
    <row r="209">
      <c r="A209" s="61">
        <v>2021.0</v>
      </c>
      <c r="B209" s="61" t="s">
        <v>925</v>
      </c>
      <c r="C209" s="61">
        <v>2.0</v>
      </c>
      <c r="D209" s="62" t="s">
        <v>19</v>
      </c>
      <c r="E209" s="62" t="s">
        <v>50</v>
      </c>
      <c r="F209" s="61">
        <v>592.0</v>
      </c>
      <c r="G209" s="62"/>
      <c r="H209" s="62" t="s">
        <v>1676</v>
      </c>
      <c r="I209" s="62" t="s">
        <v>1677</v>
      </c>
      <c r="J209" s="61">
        <v>54.0</v>
      </c>
      <c r="K209" s="61">
        <v>7.0</v>
      </c>
      <c r="L209" s="61">
        <v>1.0</v>
      </c>
      <c r="M209" s="63"/>
      <c r="N209" s="63">
        <v>0.33819444444444446</v>
      </c>
      <c r="O209" s="65" t="s">
        <v>1678</v>
      </c>
      <c r="P209" s="63"/>
      <c r="Q209" s="63"/>
      <c r="R209" s="63">
        <v>0.4625</v>
      </c>
      <c r="S209" s="62"/>
      <c r="T209" s="65" t="s">
        <v>1679</v>
      </c>
      <c r="U209" s="62" t="s">
        <v>287</v>
      </c>
      <c r="V209" s="62" t="s">
        <v>1680</v>
      </c>
      <c r="W209" s="62"/>
      <c r="X209" s="62"/>
      <c r="Y209" s="62"/>
      <c r="Z209" s="62"/>
      <c r="AA209" s="62"/>
      <c r="AB209" s="62"/>
      <c r="AC209" s="62"/>
      <c r="AD209" s="62"/>
      <c r="AE209" s="62"/>
      <c r="AF209" s="62"/>
      <c r="AG209" s="62"/>
    </row>
    <row r="210">
      <c r="A210" s="61">
        <v>2021.0</v>
      </c>
      <c r="B210" s="61" t="s">
        <v>925</v>
      </c>
      <c r="C210" s="61">
        <v>2.0</v>
      </c>
      <c r="D210" s="62" t="s">
        <v>19</v>
      </c>
      <c r="E210" s="62" t="s">
        <v>50</v>
      </c>
      <c r="F210" s="61">
        <v>592.0</v>
      </c>
      <c r="G210" s="62"/>
      <c r="H210" s="62" t="s">
        <v>1676</v>
      </c>
      <c r="I210" s="62" t="s">
        <v>1677</v>
      </c>
      <c r="J210" s="61">
        <v>54.0</v>
      </c>
      <c r="K210" s="61">
        <v>7.0</v>
      </c>
      <c r="L210" s="61">
        <v>2.0</v>
      </c>
      <c r="M210" s="63"/>
      <c r="N210" s="63">
        <v>0.4625</v>
      </c>
      <c r="O210" s="65" t="s">
        <v>1679</v>
      </c>
      <c r="P210" s="63"/>
      <c r="Q210" s="63"/>
      <c r="R210" s="63">
        <v>0.5451388888888888</v>
      </c>
      <c r="S210" s="62"/>
      <c r="T210" s="65" t="s">
        <v>1681</v>
      </c>
      <c r="U210" s="62" t="s">
        <v>267</v>
      </c>
      <c r="V210" s="62" t="s">
        <v>376</v>
      </c>
      <c r="W210" s="62"/>
      <c r="X210" s="62"/>
      <c r="Y210" s="62"/>
      <c r="Z210" s="62"/>
      <c r="AA210" s="62"/>
      <c r="AB210" s="62"/>
      <c r="AC210" s="62"/>
      <c r="AD210" s="62"/>
      <c r="AE210" s="62"/>
      <c r="AF210" s="62"/>
      <c r="AG210" s="62"/>
    </row>
    <row r="211">
      <c r="A211" s="61">
        <v>2021.0</v>
      </c>
      <c r="B211" s="61" t="s">
        <v>925</v>
      </c>
      <c r="C211" s="61">
        <v>2.0</v>
      </c>
      <c r="D211" s="62" t="s">
        <v>19</v>
      </c>
      <c r="E211" s="62" t="s">
        <v>50</v>
      </c>
      <c r="F211" s="61">
        <v>592.0</v>
      </c>
      <c r="G211" s="62"/>
      <c r="H211" s="62" t="s">
        <v>1676</v>
      </c>
      <c r="I211" s="62" t="s">
        <v>1677</v>
      </c>
      <c r="J211" s="61">
        <v>54.0</v>
      </c>
      <c r="K211" s="61">
        <v>7.0</v>
      </c>
      <c r="L211" s="61">
        <v>3.0</v>
      </c>
      <c r="M211" s="63"/>
      <c r="N211" s="63">
        <v>0.5451388888888888</v>
      </c>
      <c r="O211" s="65" t="s">
        <v>1681</v>
      </c>
      <c r="P211" s="63"/>
      <c r="Q211" s="63"/>
      <c r="R211" s="63">
        <v>0.6229166666666667</v>
      </c>
      <c r="S211" s="62"/>
      <c r="T211" s="65" t="s">
        <v>1682</v>
      </c>
      <c r="U211" s="62"/>
      <c r="V211" s="62" t="s">
        <v>1683</v>
      </c>
      <c r="W211" s="62"/>
      <c r="X211" s="62"/>
      <c r="Y211" s="62"/>
      <c r="Z211" s="62"/>
      <c r="AA211" s="62"/>
      <c r="AB211" s="62"/>
      <c r="AC211" s="62"/>
      <c r="AD211" s="62"/>
      <c r="AE211" s="62"/>
      <c r="AF211" s="62"/>
      <c r="AG211" s="62"/>
    </row>
    <row r="212">
      <c r="A212" s="61">
        <v>2021.0</v>
      </c>
      <c r="B212" s="61" t="s">
        <v>925</v>
      </c>
      <c r="C212" s="61">
        <v>2.0</v>
      </c>
      <c r="D212" s="62" t="s">
        <v>19</v>
      </c>
      <c r="E212" s="62" t="s">
        <v>50</v>
      </c>
      <c r="F212" s="61">
        <v>592.0</v>
      </c>
      <c r="G212" s="62"/>
      <c r="H212" s="62" t="s">
        <v>1676</v>
      </c>
      <c r="I212" s="62" t="s">
        <v>1677</v>
      </c>
      <c r="J212" s="61">
        <v>54.0</v>
      </c>
      <c r="K212" s="61">
        <v>7.0</v>
      </c>
      <c r="L212" s="61">
        <v>4.0</v>
      </c>
      <c r="M212" s="63"/>
      <c r="N212" s="63">
        <v>0.6229166666666667</v>
      </c>
      <c r="O212" s="65" t="s">
        <v>1682</v>
      </c>
      <c r="P212" s="63"/>
      <c r="Q212" s="63"/>
      <c r="R212" s="63">
        <v>0.6673611111111111</v>
      </c>
      <c r="S212" s="62"/>
      <c r="T212" s="65" t="s">
        <v>1675</v>
      </c>
      <c r="U212" s="62" t="s">
        <v>287</v>
      </c>
      <c r="V212" s="62" t="s">
        <v>376</v>
      </c>
      <c r="W212" s="62"/>
      <c r="X212" s="62"/>
      <c r="Y212" s="62"/>
      <c r="Z212" s="62"/>
      <c r="AA212" s="62"/>
      <c r="AB212" s="62"/>
      <c r="AC212" s="62"/>
      <c r="AD212" s="62"/>
      <c r="AE212" s="62"/>
      <c r="AF212" s="62"/>
      <c r="AG212" s="62"/>
    </row>
    <row r="213">
      <c r="A213" s="61">
        <v>2021.0</v>
      </c>
      <c r="B213" s="61" t="s">
        <v>925</v>
      </c>
      <c r="C213" s="61">
        <v>2.0</v>
      </c>
      <c r="D213" s="62" t="s">
        <v>19</v>
      </c>
      <c r="E213" s="62" t="s">
        <v>50</v>
      </c>
      <c r="F213" s="61">
        <v>593.0</v>
      </c>
      <c r="G213" s="62"/>
      <c r="H213" s="62" t="s">
        <v>1684</v>
      </c>
      <c r="I213" s="62" t="s">
        <v>1685</v>
      </c>
      <c r="J213" s="61">
        <v>57.0</v>
      </c>
      <c r="K213" s="61">
        <v>8.0</v>
      </c>
      <c r="L213" s="61">
        <v>1.0</v>
      </c>
      <c r="M213" s="63"/>
      <c r="N213" s="63">
        <v>0.33958333333333335</v>
      </c>
      <c r="O213" s="65" t="s">
        <v>1686</v>
      </c>
      <c r="P213" s="63"/>
      <c r="Q213" s="63"/>
      <c r="R213" s="63">
        <v>0.5145833333333333</v>
      </c>
      <c r="S213" s="62"/>
      <c r="T213" s="65" t="s">
        <v>218</v>
      </c>
      <c r="U213" s="62" t="s">
        <v>287</v>
      </c>
      <c r="V213" s="62" t="s">
        <v>1687</v>
      </c>
      <c r="W213" s="62"/>
      <c r="X213" s="62"/>
      <c r="Y213" s="62"/>
      <c r="Z213" s="62"/>
      <c r="AA213" s="62"/>
      <c r="AB213" s="62"/>
      <c r="AC213" s="62"/>
      <c r="AD213" s="62"/>
      <c r="AE213" s="62"/>
      <c r="AF213" s="62"/>
      <c r="AG213" s="62"/>
    </row>
    <row r="214">
      <c r="A214" s="61">
        <v>2021.0</v>
      </c>
      <c r="B214" s="61" t="s">
        <v>925</v>
      </c>
      <c r="C214" s="61">
        <v>2.0</v>
      </c>
      <c r="D214" s="62" t="s">
        <v>19</v>
      </c>
      <c r="E214" s="62" t="s">
        <v>50</v>
      </c>
      <c r="F214" s="61">
        <v>593.0</v>
      </c>
      <c r="G214" s="62"/>
      <c r="H214" s="62" t="s">
        <v>1684</v>
      </c>
      <c r="I214" s="62" t="s">
        <v>1685</v>
      </c>
      <c r="J214" s="61">
        <v>57.0</v>
      </c>
      <c r="K214" s="61">
        <v>8.0</v>
      </c>
      <c r="L214" s="61">
        <v>2.0</v>
      </c>
      <c r="M214" s="63"/>
      <c r="N214" s="63">
        <v>0.5145833333333333</v>
      </c>
      <c r="O214" s="65" t="s">
        <v>218</v>
      </c>
      <c r="P214" s="63"/>
      <c r="Q214" s="63"/>
      <c r="R214" s="63">
        <v>0.5465277777777777</v>
      </c>
      <c r="S214" s="62"/>
      <c r="T214" s="65" t="s">
        <v>1688</v>
      </c>
      <c r="U214" s="62" t="s">
        <v>309</v>
      </c>
      <c r="V214" s="62" t="s">
        <v>376</v>
      </c>
      <c r="W214" s="62"/>
      <c r="X214" s="62"/>
      <c r="Y214" s="62"/>
      <c r="Z214" s="62"/>
      <c r="AA214" s="62"/>
      <c r="AB214" s="62"/>
      <c r="AC214" s="62"/>
      <c r="AD214" s="62"/>
      <c r="AE214" s="62"/>
      <c r="AF214" s="62"/>
      <c r="AG214" s="62"/>
    </row>
    <row r="215">
      <c r="A215" s="61">
        <v>2021.0</v>
      </c>
      <c r="B215" s="61" t="s">
        <v>925</v>
      </c>
      <c r="C215" s="61">
        <v>2.0</v>
      </c>
      <c r="D215" s="62" t="s">
        <v>19</v>
      </c>
      <c r="E215" s="62" t="s">
        <v>50</v>
      </c>
      <c r="F215" s="61">
        <v>593.0</v>
      </c>
      <c r="G215" s="62"/>
      <c r="H215" s="62" t="s">
        <v>1684</v>
      </c>
      <c r="I215" s="62" t="s">
        <v>1685</v>
      </c>
      <c r="J215" s="61">
        <v>57.0</v>
      </c>
      <c r="K215" s="61">
        <v>8.0</v>
      </c>
      <c r="L215" s="61">
        <v>3.0</v>
      </c>
      <c r="M215" s="63"/>
      <c r="N215" s="63">
        <v>0.5465277777777777</v>
      </c>
      <c r="O215" s="65" t="s">
        <v>1688</v>
      </c>
      <c r="P215" s="63"/>
      <c r="Q215" s="63"/>
      <c r="R215" s="63">
        <v>0.6326388888888889</v>
      </c>
      <c r="S215" s="62"/>
      <c r="T215" s="65" t="s">
        <v>1689</v>
      </c>
      <c r="U215" s="62" t="s">
        <v>267</v>
      </c>
      <c r="V215" s="62" t="s">
        <v>1690</v>
      </c>
      <c r="W215" s="62"/>
      <c r="X215" s="62"/>
      <c r="Y215" s="62"/>
      <c r="Z215" s="62"/>
      <c r="AA215" s="62"/>
      <c r="AB215" s="62"/>
      <c r="AC215" s="62"/>
      <c r="AD215" s="62"/>
      <c r="AE215" s="62"/>
      <c r="AF215" s="62"/>
      <c r="AG215" s="62"/>
    </row>
    <row r="216">
      <c r="A216" s="61">
        <v>2021.0</v>
      </c>
      <c r="B216" s="61" t="s">
        <v>925</v>
      </c>
      <c r="C216" s="61">
        <v>2.0</v>
      </c>
      <c r="D216" s="62" t="s">
        <v>19</v>
      </c>
      <c r="E216" s="62" t="s">
        <v>50</v>
      </c>
      <c r="F216" s="61">
        <v>593.0</v>
      </c>
      <c r="G216" s="62"/>
      <c r="H216" s="62" t="s">
        <v>1684</v>
      </c>
      <c r="I216" s="62" t="s">
        <v>1685</v>
      </c>
      <c r="J216" s="61">
        <v>57.0</v>
      </c>
      <c r="K216" s="61">
        <v>8.0</v>
      </c>
      <c r="L216" s="61">
        <v>4.0</v>
      </c>
      <c r="M216" s="63"/>
      <c r="N216" s="63">
        <v>0.6326388888888889</v>
      </c>
      <c r="O216" s="65" t="s">
        <v>1689</v>
      </c>
      <c r="P216" s="63"/>
      <c r="Q216" s="63"/>
      <c r="R216" s="63">
        <v>0.6708333333333333</v>
      </c>
      <c r="S216" s="62"/>
      <c r="T216" s="65" t="s">
        <v>1691</v>
      </c>
      <c r="U216" s="62" t="s">
        <v>309</v>
      </c>
      <c r="V216" s="62" t="s">
        <v>1692</v>
      </c>
      <c r="W216" s="62"/>
      <c r="X216" s="62"/>
      <c r="Y216" s="62"/>
      <c r="Z216" s="62"/>
      <c r="AA216" s="62"/>
      <c r="AB216" s="62"/>
      <c r="AC216" s="62"/>
      <c r="AD216" s="62"/>
      <c r="AE216" s="62"/>
      <c r="AF216" s="62"/>
      <c r="AG216" s="62"/>
    </row>
    <row r="217">
      <c r="A217" s="61">
        <v>2021.0</v>
      </c>
      <c r="B217" s="61" t="s">
        <v>925</v>
      </c>
      <c r="C217" s="61">
        <v>3.0</v>
      </c>
      <c r="D217" s="62" t="s">
        <v>19</v>
      </c>
      <c r="E217" s="62" t="s">
        <v>68</v>
      </c>
      <c r="F217" s="61">
        <v>595.0</v>
      </c>
      <c r="G217" s="62"/>
      <c r="H217" s="62" t="s">
        <v>1693</v>
      </c>
      <c r="I217" s="62" t="s">
        <v>1694</v>
      </c>
      <c r="J217" s="61">
        <v>49.0</v>
      </c>
      <c r="K217" s="61">
        <v>1.0</v>
      </c>
      <c r="L217" s="61">
        <v>1.0</v>
      </c>
      <c r="M217" s="63"/>
      <c r="N217" s="63">
        <v>0.34652777777777777</v>
      </c>
      <c r="O217" s="65" t="s">
        <v>1695</v>
      </c>
      <c r="P217" s="63"/>
      <c r="Q217" s="63"/>
      <c r="R217" s="63">
        <v>0.41944444444444445</v>
      </c>
      <c r="S217" s="62"/>
      <c r="T217" s="65" t="s">
        <v>1696</v>
      </c>
      <c r="U217" s="62" t="s">
        <v>287</v>
      </c>
      <c r="V217" s="62" t="s">
        <v>1697</v>
      </c>
      <c r="W217" s="62"/>
      <c r="X217" s="62"/>
      <c r="Y217" s="62"/>
      <c r="Z217" s="62"/>
      <c r="AA217" s="62"/>
      <c r="AB217" s="62"/>
      <c r="AC217" s="62"/>
      <c r="AD217" s="62"/>
      <c r="AE217" s="62"/>
      <c r="AF217" s="62"/>
      <c r="AG217" s="62"/>
    </row>
    <row r="218">
      <c r="A218" s="61">
        <v>2021.0</v>
      </c>
      <c r="B218" s="61" t="s">
        <v>925</v>
      </c>
      <c r="C218" s="61">
        <v>3.0</v>
      </c>
      <c r="D218" s="62" t="s">
        <v>19</v>
      </c>
      <c r="E218" s="62" t="s">
        <v>68</v>
      </c>
      <c r="F218" s="61">
        <v>595.0</v>
      </c>
      <c r="G218" s="62"/>
      <c r="H218" s="62" t="s">
        <v>1693</v>
      </c>
      <c r="I218" s="62" t="s">
        <v>1694</v>
      </c>
      <c r="J218" s="61">
        <v>49.0</v>
      </c>
      <c r="K218" s="61">
        <v>1.0</v>
      </c>
      <c r="L218" s="61">
        <v>2.0</v>
      </c>
      <c r="M218" s="63"/>
      <c r="N218" s="63">
        <v>0.41944444444444445</v>
      </c>
      <c r="O218" s="65" t="s">
        <v>1696</v>
      </c>
      <c r="P218" s="63"/>
      <c r="Q218" s="63"/>
      <c r="R218" s="63">
        <v>0.4798611111111111</v>
      </c>
      <c r="S218" s="62"/>
      <c r="T218" s="65" t="s">
        <v>1698</v>
      </c>
      <c r="U218" s="62" t="s">
        <v>267</v>
      </c>
      <c r="V218" s="62" t="s">
        <v>1699</v>
      </c>
      <c r="W218" s="62"/>
      <c r="X218" s="62"/>
      <c r="Y218" s="62"/>
      <c r="Z218" s="62"/>
      <c r="AA218" s="62"/>
      <c r="AB218" s="62"/>
      <c r="AC218" s="62"/>
      <c r="AD218" s="62"/>
      <c r="AE218" s="62"/>
      <c r="AF218" s="62"/>
      <c r="AG218" s="62"/>
    </row>
    <row r="219">
      <c r="A219" s="61">
        <v>2021.0</v>
      </c>
      <c r="B219" s="61" t="s">
        <v>925</v>
      </c>
      <c r="C219" s="61">
        <v>3.0</v>
      </c>
      <c r="D219" s="62" t="s">
        <v>19</v>
      </c>
      <c r="E219" s="62" t="s">
        <v>68</v>
      </c>
      <c r="F219" s="61">
        <v>595.0</v>
      </c>
      <c r="G219" s="62"/>
      <c r="H219" s="62" t="s">
        <v>1693</v>
      </c>
      <c r="I219" s="62" t="s">
        <v>1694</v>
      </c>
      <c r="J219" s="61">
        <v>49.0</v>
      </c>
      <c r="K219" s="61">
        <v>1.0</v>
      </c>
      <c r="L219" s="61">
        <v>3.0</v>
      </c>
      <c r="M219" s="63"/>
      <c r="N219" s="63">
        <v>0.4798611111111111</v>
      </c>
      <c r="O219" s="65" t="s">
        <v>1698</v>
      </c>
      <c r="P219" s="63"/>
      <c r="Q219" s="63"/>
      <c r="R219" s="63">
        <v>0.6104166666666667</v>
      </c>
      <c r="S219" s="62"/>
      <c r="T219" s="65" t="s">
        <v>1596</v>
      </c>
      <c r="U219" s="62" t="s">
        <v>267</v>
      </c>
      <c r="V219" s="62" t="s">
        <v>422</v>
      </c>
      <c r="W219" s="62"/>
      <c r="X219" s="62"/>
      <c r="Y219" s="62"/>
      <c r="Z219" s="62"/>
      <c r="AA219" s="62"/>
      <c r="AB219" s="62"/>
      <c r="AC219" s="62"/>
      <c r="AD219" s="62"/>
      <c r="AE219" s="62"/>
      <c r="AF219" s="62"/>
      <c r="AG219" s="62"/>
    </row>
    <row r="220">
      <c r="A220" s="61">
        <v>2021.0</v>
      </c>
      <c r="B220" s="61" t="s">
        <v>925</v>
      </c>
      <c r="C220" s="61">
        <v>3.0</v>
      </c>
      <c r="D220" s="62" t="s">
        <v>19</v>
      </c>
      <c r="E220" s="62" t="s">
        <v>68</v>
      </c>
      <c r="F220" s="61">
        <v>596.0</v>
      </c>
      <c r="G220" s="62"/>
      <c r="H220" s="62" t="s">
        <v>1700</v>
      </c>
      <c r="I220" s="62" t="s">
        <v>1701</v>
      </c>
      <c r="J220" s="61">
        <v>48.0</v>
      </c>
      <c r="K220" s="61">
        <v>2.0</v>
      </c>
      <c r="L220" s="61">
        <v>1.0</v>
      </c>
      <c r="M220" s="63"/>
      <c r="N220" s="63">
        <v>0.3472222222222222</v>
      </c>
      <c r="O220" s="65" t="s">
        <v>1702</v>
      </c>
      <c r="P220" s="63"/>
      <c r="Q220" s="63"/>
      <c r="R220" s="63">
        <v>0.3680555555555556</v>
      </c>
      <c r="S220" s="62"/>
      <c r="T220" s="65" t="s">
        <v>213</v>
      </c>
      <c r="U220" s="62" t="s">
        <v>287</v>
      </c>
      <c r="V220" s="62" t="s">
        <v>1703</v>
      </c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</row>
    <row r="221">
      <c r="A221" s="61">
        <v>2021.0</v>
      </c>
      <c r="B221" s="61" t="s">
        <v>925</v>
      </c>
      <c r="C221" s="61">
        <v>3.0</v>
      </c>
      <c r="D221" s="62" t="s">
        <v>19</v>
      </c>
      <c r="E221" s="62" t="s">
        <v>68</v>
      </c>
      <c r="F221" s="61">
        <v>596.0</v>
      </c>
      <c r="G221" s="62"/>
      <c r="H221" s="62" t="s">
        <v>1700</v>
      </c>
      <c r="I221" s="62" t="s">
        <v>1701</v>
      </c>
      <c r="J221" s="61">
        <v>48.0</v>
      </c>
      <c r="K221" s="61">
        <v>2.0</v>
      </c>
      <c r="L221" s="61">
        <v>2.0</v>
      </c>
      <c r="M221" s="63"/>
      <c r="N221" s="63">
        <v>0.3680555555555556</v>
      </c>
      <c r="O221" s="65" t="s">
        <v>213</v>
      </c>
      <c r="P221" s="63"/>
      <c r="Q221" s="63"/>
      <c r="R221" s="63">
        <v>0.43125</v>
      </c>
      <c r="S221" s="62"/>
      <c r="T221" s="65" t="s">
        <v>1704</v>
      </c>
      <c r="U221" s="62" t="s">
        <v>287</v>
      </c>
      <c r="V221" s="62" t="s">
        <v>1705</v>
      </c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</row>
    <row r="222">
      <c r="A222" s="61">
        <v>2021.0</v>
      </c>
      <c r="B222" s="61" t="s">
        <v>925</v>
      </c>
      <c r="C222" s="61">
        <v>3.0</v>
      </c>
      <c r="D222" s="62" t="s">
        <v>19</v>
      </c>
      <c r="E222" s="62" t="s">
        <v>68</v>
      </c>
      <c r="F222" s="61">
        <v>596.0</v>
      </c>
      <c r="G222" s="62"/>
      <c r="H222" s="62" t="s">
        <v>1700</v>
      </c>
      <c r="I222" s="62" t="s">
        <v>1701</v>
      </c>
      <c r="J222" s="61">
        <v>48.0</v>
      </c>
      <c r="K222" s="61">
        <v>2.0</v>
      </c>
      <c r="L222" s="61">
        <v>3.0</v>
      </c>
      <c r="M222" s="63"/>
      <c r="N222" s="63">
        <v>0.43125</v>
      </c>
      <c r="O222" s="65" t="s">
        <v>1704</v>
      </c>
      <c r="P222" s="63"/>
      <c r="Q222" s="63"/>
      <c r="R222" s="63">
        <v>0.48333333333333334</v>
      </c>
      <c r="S222" s="62"/>
      <c r="T222" s="65" t="s">
        <v>1253</v>
      </c>
      <c r="U222" s="62" t="s">
        <v>1638</v>
      </c>
      <c r="V222" s="62" t="s">
        <v>411</v>
      </c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</row>
    <row r="223">
      <c r="A223" s="61">
        <v>2021.0</v>
      </c>
      <c r="B223" s="61" t="s">
        <v>925</v>
      </c>
      <c r="C223" s="61">
        <v>3.0</v>
      </c>
      <c r="D223" s="62" t="s">
        <v>19</v>
      </c>
      <c r="E223" s="62" t="s">
        <v>68</v>
      </c>
      <c r="F223" s="61">
        <v>596.0</v>
      </c>
      <c r="G223" s="62"/>
      <c r="H223" s="62" t="s">
        <v>1700</v>
      </c>
      <c r="I223" s="62" t="s">
        <v>1701</v>
      </c>
      <c r="J223" s="61">
        <v>48.0</v>
      </c>
      <c r="K223" s="61">
        <v>2.0</v>
      </c>
      <c r="L223" s="61">
        <v>4.0</v>
      </c>
      <c r="M223" s="63"/>
      <c r="N223" s="63">
        <v>0.48333333333333334</v>
      </c>
      <c r="O223" s="65" t="s">
        <v>1253</v>
      </c>
      <c r="P223" s="63"/>
      <c r="Q223" s="63"/>
      <c r="R223" s="63">
        <v>0.6118055555555556</v>
      </c>
      <c r="S223" s="62"/>
      <c r="T223" s="65" t="s">
        <v>1706</v>
      </c>
      <c r="U223" s="62"/>
      <c r="V223" s="62" t="s">
        <v>1707</v>
      </c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</row>
    <row r="224">
      <c r="A224" s="61">
        <v>2021.0</v>
      </c>
      <c r="B224" s="61" t="s">
        <v>925</v>
      </c>
      <c r="C224" s="61">
        <v>3.0</v>
      </c>
      <c r="D224" s="62" t="s">
        <v>19</v>
      </c>
      <c r="E224" s="62" t="s">
        <v>68</v>
      </c>
      <c r="F224" s="61">
        <v>597.0</v>
      </c>
      <c r="G224" s="62"/>
      <c r="H224" s="62" t="s">
        <v>1708</v>
      </c>
      <c r="I224" s="62" t="s">
        <v>1709</v>
      </c>
      <c r="J224" s="61">
        <v>50.0</v>
      </c>
      <c r="K224" s="61">
        <v>3.0</v>
      </c>
      <c r="L224" s="61">
        <v>1.0</v>
      </c>
      <c r="M224" s="63"/>
      <c r="N224" s="63">
        <v>0.34930555555555554</v>
      </c>
      <c r="O224" s="65" t="s">
        <v>1710</v>
      </c>
      <c r="P224" s="63"/>
      <c r="Q224" s="63"/>
      <c r="R224" s="63">
        <v>0.4423611111111111</v>
      </c>
      <c r="S224" s="62"/>
      <c r="T224" s="65" t="s">
        <v>1711</v>
      </c>
      <c r="U224" s="62" t="s">
        <v>287</v>
      </c>
      <c r="V224" s="62" t="s">
        <v>422</v>
      </c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</row>
    <row r="225">
      <c r="A225" s="61">
        <v>2021.0</v>
      </c>
      <c r="B225" s="61" t="s">
        <v>925</v>
      </c>
      <c r="C225" s="61">
        <v>3.0</v>
      </c>
      <c r="D225" s="62" t="s">
        <v>19</v>
      </c>
      <c r="E225" s="62" t="s">
        <v>68</v>
      </c>
      <c r="F225" s="61">
        <v>597.0</v>
      </c>
      <c r="G225" s="62"/>
      <c r="H225" s="62" t="s">
        <v>1708</v>
      </c>
      <c r="I225" s="62" t="s">
        <v>1709</v>
      </c>
      <c r="J225" s="61">
        <v>50.0</v>
      </c>
      <c r="K225" s="61">
        <v>3.0</v>
      </c>
      <c r="L225" s="61">
        <v>2.0</v>
      </c>
      <c r="M225" s="63"/>
      <c r="N225" s="63">
        <v>0.4423611111111111</v>
      </c>
      <c r="O225" s="65" t="s">
        <v>1711</v>
      </c>
      <c r="P225" s="63"/>
      <c r="Q225" s="63"/>
      <c r="R225" s="63">
        <v>0.48541666666666666</v>
      </c>
      <c r="S225" s="62"/>
      <c r="T225" s="65" t="s">
        <v>1712</v>
      </c>
      <c r="U225" s="62" t="s">
        <v>287</v>
      </c>
      <c r="V225" s="62" t="s">
        <v>1713</v>
      </c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</row>
    <row r="226">
      <c r="A226" s="61">
        <v>2021.0</v>
      </c>
      <c r="B226" s="61" t="s">
        <v>925</v>
      </c>
      <c r="C226" s="61">
        <v>3.0</v>
      </c>
      <c r="D226" s="62" t="s">
        <v>19</v>
      </c>
      <c r="E226" s="62" t="s">
        <v>68</v>
      </c>
      <c r="F226" s="61">
        <v>597.0</v>
      </c>
      <c r="G226" s="62"/>
      <c r="H226" s="62" t="s">
        <v>1708</v>
      </c>
      <c r="I226" s="62" t="s">
        <v>1709</v>
      </c>
      <c r="J226" s="61">
        <v>50.0</v>
      </c>
      <c r="K226" s="61">
        <v>3.0</v>
      </c>
      <c r="L226" s="61">
        <v>3.0</v>
      </c>
      <c r="M226" s="63"/>
      <c r="N226" s="63">
        <v>0.48541666666666666</v>
      </c>
      <c r="O226" s="65" t="s">
        <v>1712</v>
      </c>
      <c r="P226" s="63"/>
      <c r="Q226" s="63"/>
      <c r="R226" s="63">
        <v>0.6145833333333334</v>
      </c>
      <c r="S226" s="62"/>
      <c r="T226" s="65" t="s">
        <v>1714</v>
      </c>
      <c r="U226" s="62" t="s">
        <v>287</v>
      </c>
      <c r="V226" s="62" t="s">
        <v>1715</v>
      </c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</row>
    <row r="227">
      <c r="A227" s="61">
        <v>2021.0</v>
      </c>
      <c r="B227" s="61" t="s">
        <v>925</v>
      </c>
      <c r="C227" s="61">
        <v>3.0</v>
      </c>
      <c r="D227" s="62" t="s">
        <v>19</v>
      </c>
      <c r="E227" s="62" t="s">
        <v>68</v>
      </c>
      <c r="F227" s="61">
        <v>598.0</v>
      </c>
      <c r="G227" s="62"/>
      <c r="H227" s="62" t="s">
        <v>1716</v>
      </c>
      <c r="I227" s="62" t="s">
        <v>1717</v>
      </c>
      <c r="J227" s="61">
        <v>52.0</v>
      </c>
      <c r="K227" s="61">
        <v>4.0</v>
      </c>
      <c r="L227" s="61">
        <v>1.0</v>
      </c>
      <c r="M227" s="63"/>
      <c r="N227" s="63">
        <v>0.3506944444444444</v>
      </c>
      <c r="O227" s="65" t="s">
        <v>1718</v>
      </c>
      <c r="P227" s="63"/>
      <c r="Q227" s="63"/>
      <c r="R227" s="63">
        <v>0.4444444444444444</v>
      </c>
      <c r="S227" s="62"/>
      <c r="T227" s="65" t="s">
        <v>1719</v>
      </c>
      <c r="U227" s="62" t="s">
        <v>267</v>
      </c>
      <c r="V227" s="62" t="s">
        <v>422</v>
      </c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</row>
    <row r="228">
      <c r="A228" s="61">
        <v>2021.0</v>
      </c>
      <c r="B228" s="61" t="s">
        <v>925</v>
      </c>
      <c r="C228" s="61">
        <v>3.0</v>
      </c>
      <c r="D228" s="62" t="s">
        <v>19</v>
      </c>
      <c r="E228" s="62" t="s">
        <v>68</v>
      </c>
      <c r="F228" s="61">
        <v>598.0</v>
      </c>
      <c r="G228" s="62"/>
      <c r="H228" s="62" t="s">
        <v>1716</v>
      </c>
      <c r="I228" s="62" t="s">
        <v>1717</v>
      </c>
      <c r="J228" s="61">
        <v>52.0</v>
      </c>
      <c r="K228" s="61">
        <v>4.0</v>
      </c>
      <c r="L228" s="61">
        <v>2.0</v>
      </c>
      <c r="M228" s="63"/>
      <c r="N228" s="63">
        <v>0.4444444444444444</v>
      </c>
      <c r="O228" s="65" t="s">
        <v>1719</v>
      </c>
      <c r="P228" s="63"/>
      <c r="Q228" s="63"/>
      <c r="R228" s="63">
        <v>0.5034722222222222</v>
      </c>
      <c r="S228" s="62"/>
      <c r="T228" s="65" t="s">
        <v>226</v>
      </c>
      <c r="U228" s="62" t="s">
        <v>267</v>
      </c>
      <c r="V228" s="62" t="s">
        <v>422</v>
      </c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</row>
    <row r="229">
      <c r="A229" s="61">
        <v>2021.0</v>
      </c>
      <c r="B229" s="61" t="s">
        <v>925</v>
      </c>
      <c r="C229" s="61">
        <v>3.0</v>
      </c>
      <c r="D229" s="62" t="s">
        <v>19</v>
      </c>
      <c r="E229" s="62" t="s">
        <v>68</v>
      </c>
      <c r="F229" s="61">
        <v>598.0</v>
      </c>
      <c r="G229" s="62"/>
      <c r="H229" s="62" t="s">
        <v>1716</v>
      </c>
      <c r="I229" s="62" t="s">
        <v>1717</v>
      </c>
      <c r="J229" s="61">
        <v>52.0</v>
      </c>
      <c r="K229" s="61">
        <v>4.0</v>
      </c>
      <c r="L229" s="61">
        <v>3.0</v>
      </c>
      <c r="M229" s="63"/>
      <c r="N229" s="63">
        <v>0.5034722222222222</v>
      </c>
      <c r="O229" s="65" t="s">
        <v>226</v>
      </c>
      <c r="P229" s="63"/>
      <c r="Q229" s="63"/>
      <c r="R229" s="63">
        <v>0.6666666666666666</v>
      </c>
      <c r="S229" s="62"/>
      <c r="T229" s="65" t="s">
        <v>679</v>
      </c>
      <c r="U229" s="62" t="s">
        <v>287</v>
      </c>
      <c r="V229" s="62" t="s">
        <v>1720</v>
      </c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</row>
    <row r="230">
      <c r="A230" s="61">
        <v>2021.0</v>
      </c>
      <c r="B230" s="61" t="s">
        <v>925</v>
      </c>
      <c r="C230" s="61">
        <v>3.0</v>
      </c>
      <c r="D230" s="62" t="s">
        <v>19</v>
      </c>
      <c r="E230" s="62" t="s">
        <v>68</v>
      </c>
      <c r="F230" s="61">
        <v>599.0</v>
      </c>
      <c r="G230" s="62"/>
      <c r="H230" s="62" t="s">
        <v>1721</v>
      </c>
      <c r="I230" s="62" t="s">
        <v>1722</v>
      </c>
      <c r="J230" s="61">
        <v>52.0</v>
      </c>
      <c r="K230" s="61">
        <v>5.0</v>
      </c>
      <c r="L230" s="61">
        <v>1.0</v>
      </c>
      <c r="M230" s="63"/>
      <c r="N230" s="63">
        <v>0.35208333333333336</v>
      </c>
      <c r="O230" s="65" t="s">
        <v>1723</v>
      </c>
      <c r="P230" s="63"/>
      <c r="Q230" s="63"/>
      <c r="R230" s="63">
        <v>0.4465277777777778</v>
      </c>
      <c r="S230" s="62"/>
      <c r="T230" s="65" t="s">
        <v>254</v>
      </c>
      <c r="U230" s="62" t="s">
        <v>267</v>
      </c>
      <c r="V230" s="62" t="s">
        <v>422</v>
      </c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</row>
    <row r="231">
      <c r="A231" s="61">
        <v>2021.0</v>
      </c>
      <c r="B231" s="61" t="s">
        <v>925</v>
      </c>
      <c r="C231" s="61">
        <v>3.0</v>
      </c>
      <c r="D231" s="62" t="s">
        <v>19</v>
      </c>
      <c r="E231" s="62" t="s">
        <v>68</v>
      </c>
      <c r="F231" s="61">
        <v>599.0</v>
      </c>
      <c r="G231" s="62"/>
      <c r="H231" s="62" t="s">
        <v>1721</v>
      </c>
      <c r="I231" s="62" t="s">
        <v>1722</v>
      </c>
      <c r="J231" s="61">
        <v>52.0</v>
      </c>
      <c r="K231" s="61">
        <v>5.0</v>
      </c>
      <c r="L231" s="61">
        <v>2.0</v>
      </c>
      <c r="M231" s="63"/>
      <c r="N231" s="63">
        <v>0.4465277777777778</v>
      </c>
      <c r="O231" s="65" t="s">
        <v>254</v>
      </c>
      <c r="P231" s="63"/>
      <c r="Q231" s="63"/>
      <c r="R231" s="63">
        <v>0.5055555555555555</v>
      </c>
      <c r="S231" s="62"/>
      <c r="T231" s="65" t="s">
        <v>1724</v>
      </c>
      <c r="U231" s="62" t="s">
        <v>309</v>
      </c>
      <c r="V231" s="62" t="s">
        <v>422</v>
      </c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</row>
    <row r="232">
      <c r="A232" s="61">
        <v>2021.0</v>
      </c>
      <c r="B232" s="61" t="s">
        <v>925</v>
      </c>
      <c r="C232" s="61">
        <v>3.0</v>
      </c>
      <c r="D232" s="62" t="s">
        <v>19</v>
      </c>
      <c r="E232" s="62" t="s">
        <v>68</v>
      </c>
      <c r="F232" s="61">
        <v>599.0</v>
      </c>
      <c r="G232" s="62"/>
      <c r="H232" s="62" t="s">
        <v>1721</v>
      </c>
      <c r="I232" s="62" t="s">
        <v>1722</v>
      </c>
      <c r="J232" s="61">
        <v>52.0</v>
      </c>
      <c r="K232" s="61">
        <v>5.0</v>
      </c>
      <c r="L232" s="61">
        <v>3.0</v>
      </c>
      <c r="M232" s="63"/>
      <c r="N232" s="63">
        <v>0.5055555555555555</v>
      </c>
      <c r="O232" s="65" t="s">
        <v>1724</v>
      </c>
      <c r="P232" s="63"/>
      <c r="Q232" s="63"/>
      <c r="R232" s="63">
        <v>0.6645833333333333</v>
      </c>
      <c r="S232" s="62"/>
      <c r="T232" s="65" t="s">
        <v>294</v>
      </c>
      <c r="U232" s="62" t="s">
        <v>267</v>
      </c>
      <c r="V232" s="62" t="s">
        <v>422</v>
      </c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</row>
    <row r="233">
      <c r="A233" s="61">
        <v>2021.0</v>
      </c>
      <c r="B233" s="61" t="s">
        <v>925</v>
      </c>
      <c r="C233" s="61">
        <v>3.0</v>
      </c>
      <c r="D233" s="62" t="s">
        <v>19</v>
      </c>
      <c r="E233" s="62" t="s">
        <v>68</v>
      </c>
      <c r="F233" s="61">
        <v>600.0</v>
      </c>
      <c r="G233" s="62"/>
      <c r="H233" s="62" t="s">
        <v>1725</v>
      </c>
      <c r="I233" s="62" t="s">
        <v>1726</v>
      </c>
      <c r="J233" s="61">
        <v>50.0</v>
      </c>
      <c r="K233" s="61">
        <v>6.0</v>
      </c>
      <c r="L233" s="61">
        <v>1.0</v>
      </c>
      <c r="M233" s="63"/>
      <c r="N233" s="63">
        <v>0.35347222222222224</v>
      </c>
      <c r="O233" s="65" t="s">
        <v>1727</v>
      </c>
      <c r="P233" s="63"/>
      <c r="Q233" s="63"/>
      <c r="R233" s="63">
        <v>0.45</v>
      </c>
      <c r="S233" s="62"/>
      <c r="T233" s="65" t="s">
        <v>1728</v>
      </c>
      <c r="U233" s="62" t="s">
        <v>267</v>
      </c>
      <c r="V233" s="62" t="s">
        <v>1729</v>
      </c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</row>
    <row r="234">
      <c r="A234" s="61">
        <v>2021.0</v>
      </c>
      <c r="B234" s="61" t="s">
        <v>925</v>
      </c>
      <c r="C234" s="61">
        <v>3.0</v>
      </c>
      <c r="D234" s="62" t="s">
        <v>19</v>
      </c>
      <c r="E234" s="62" t="s">
        <v>68</v>
      </c>
      <c r="F234" s="61">
        <v>600.0</v>
      </c>
      <c r="G234" s="62"/>
      <c r="H234" s="62" t="s">
        <v>1725</v>
      </c>
      <c r="I234" s="62" t="s">
        <v>1726</v>
      </c>
      <c r="J234" s="61">
        <v>50.0</v>
      </c>
      <c r="K234" s="61">
        <v>6.0</v>
      </c>
      <c r="L234" s="61">
        <v>2.0</v>
      </c>
      <c r="M234" s="63"/>
      <c r="N234" s="63">
        <v>0.45</v>
      </c>
      <c r="O234" s="65" t="s">
        <v>1728</v>
      </c>
      <c r="P234" s="63"/>
      <c r="Q234" s="63"/>
      <c r="R234" s="63">
        <v>0.5076388888888889</v>
      </c>
      <c r="S234" s="62"/>
      <c r="T234" s="65" t="s">
        <v>1082</v>
      </c>
      <c r="U234" s="62" t="s">
        <v>309</v>
      </c>
      <c r="V234" s="62" t="s">
        <v>422</v>
      </c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</row>
    <row r="235">
      <c r="A235" s="61">
        <v>2021.0</v>
      </c>
      <c r="B235" s="61" t="s">
        <v>925</v>
      </c>
      <c r="C235" s="61">
        <v>3.0</v>
      </c>
      <c r="D235" s="62" t="s">
        <v>19</v>
      </c>
      <c r="E235" s="62" t="s">
        <v>68</v>
      </c>
      <c r="F235" s="61">
        <v>600.0</v>
      </c>
      <c r="G235" s="62"/>
      <c r="H235" s="62" t="s">
        <v>1725</v>
      </c>
      <c r="I235" s="62" t="s">
        <v>1726</v>
      </c>
      <c r="J235" s="61">
        <v>50.0</v>
      </c>
      <c r="K235" s="61">
        <v>6.0</v>
      </c>
      <c r="L235" s="61">
        <v>3.0</v>
      </c>
      <c r="M235" s="63"/>
      <c r="N235" s="63">
        <v>0.5076388888888889</v>
      </c>
      <c r="O235" s="65" t="s">
        <v>1082</v>
      </c>
      <c r="P235" s="63"/>
      <c r="Q235" s="63"/>
      <c r="R235" s="63">
        <v>0.6708333333333333</v>
      </c>
      <c r="S235" s="62"/>
      <c r="T235" s="65" t="s">
        <v>1691</v>
      </c>
      <c r="U235" s="62" t="s">
        <v>287</v>
      </c>
      <c r="V235" s="62" t="s">
        <v>422</v>
      </c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</row>
    <row r="236">
      <c r="A236" s="61">
        <v>2021.0</v>
      </c>
      <c r="B236" s="61" t="s">
        <v>925</v>
      </c>
      <c r="C236" s="61">
        <v>3.0</v>
      </c>
      <c r="D236" s="62" t="s">
        <v>19</v>
      </c>
      <c r="E236" s="62" t="s">
        <v>68</v>
      </c>
      <c r="F236" s="61">
        <v>601.0</v>
      </c>
      <c r="G236" s="62"/>
      <c r="H236" s="62" t="s">
        <v>1730</v>
      </c>
      <c r="I236" s="62" t="s">
        <v>1731</v>
      </c>
      <c r="J236" s="61">
        <v>47.0</v>
      </c>
      <c r="K236" s="61">
        <v>7.0</v>
      </c>
      <c r="L236" s="61">
        <v>1.0</v>
      </c>
      <c r="M236" s="63"/>
      <c r="N236" s="63">
        <v>0.3541666666666667</v>
      </c>
      <c r="O236" s="65" t="s">
        <v>1732</v>
      </c>
      <c r="P236" s="63"/>
      <c r="Q236" s="63"/>
      <c r="R236" s="63">
        <v>0.4527777777777778</v>
      </c>
      <c r="S236" s="62"/>
      <c r="T236" s="65" t="s">
        <v>1733</v>
      </c>
      <c r="U236" s="62" t="s">
        <v>309</v>
      </c>
      <c r="V236" s="62" t="s">
        <v>1734</v>
      </c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</row>
    <row r="237">
      <c r="A237" s="61">
        <v>2021.0</v>
      </c>
      <c r="B237" s="61" t="s">
        <v>925</v>
      </c>
      <c r="C237" s="61">
        <v>3.0</v>
      </c>
      <c r="D237" s="62" t="s">
        <v>19</v>
      </c>
      <c r="E237" s="62" t="s">
        <v>68</v>
      </c>
      <c r="F237" s="61">
        <v>601.0</v>
      </c>
      <c r="G237" s="62"/>
      <c r="H237" s="62" t="s">
        <v>1730</v>
      </c>
      <c r="I237" s="62" t="s">
        <v>1731</v>
      </c>
      <c r="J237" s="61">
        <v>47.0</v>
      </c>
      <c r="K237" s="61">
        <v>7.0</v>
      </c>
      <c r="L237" s="61">
        <v>2.0</v>
      </c>
      <c r="M237" s="63"/>
      <c r="N237" s="63">
        <v>0.4527777777777778</v>
      </c>
      <c r="O237" s="65" t="s">
        <v>1733</v>
      </c>
      <c r="P237" s="63"/>
      <c r="Q237" s="63"/>
      <c r="R237" s="63">
        <v>0.5097222222222222</v>
      </c>
      <c r="S237" s="62"/>
      <c r="T237" s="65" t="s">
        <v>1084</v>
      </c>
      <c r="U237" s="62" t="s">
        <v>267</v>
      </c>
      <c r="V237" s="62" t="s">
        <v>422</v>
      </c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</row>
    <row r="238">
      <c r="A238" s="61">
        <v>2021.0</v>
      </c>
      <c r="B238" s="61" t="s">
        <v>925</v>
      </c>
      <c r="C238" s="61">
        <v>3.0</v>
      </c>
      <c r="D238" s="62" t="s">
        <v>19</v>
      </c>
      <c r="E238" s="62" t="s">
        <v>68</v>
      </c>
      <c r="F238" s="61">
        <v>601.0</v>
      </c>
      <c r="G238" s="62"/>
      <c r="H238" s="62" t="s">
        <v>1730</v>
      </c>
      <c r="I238" s="62" t="s">
        <v>1731</v>
      </c>
      <c r="J238" s="61">
        <v>47.0</v>
      </c>
      <c r="K238" s="61">
        <v>7.0</v>
      </c>
      <c r="L238" s="61">
        <v>3.0</v>
      </c>
      <c r="M238" s="63"/>
      <c r="N238" s="63">
        <v>0.5097222222222222</v>
      </c>
      <c r="O238" s="65" t="s">
        <v>1084</v>
      </c>
      <c r="P238" s="63"/>
      <c r="Q238" s="63"/>
      <c r="R238" s="63">
        <v>0.6736111111111112</v>
      </c>
      <c r="S238" s="62"/>
      <c r="T238" s="65" t="s">
        <v>1735</v>
      </c>
      <c r="U238" s="62" t="s">
        <v>267</v>
      </c>
      <c r="V238" s="62" t="s">
        <v>1736</v>
      </c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</row>
    <row r="239">
      <c r="A239" s="61">
        <v>2021.0</v>
      </c>
      <c r="B239" s="61" t="s">
        <v>925</v>
      </c>
      <c r="C239" s="61">
        <v>3.0</v>
      </c>
      <c r="D239" s="62" t="s">
        <v>19</v>
      </c>
      <c r="E239" s="62" t="s">
        <v>68</v>
      </c>
      <c r="F239" s="61">
        <v>602.0</v>
      </c>
      <c r="G239" s="62"/>
      <c r="H239" s="62" t="s">
        <v>1737</v>
      </c>
      <c r="I239" s="62" t="s">
        <v>1738</v>
      </c>
      <c r="J239" s="61">
        <v>45.0</v>
      </c>
      <c r="K239" s="61">
        <v>8.0</v>
      </c>
      <c r="L239" s="61">
        <v>1.0</v>
      </c>
      <c r="M239" s="63"/>
      <c r="N239" s="63">
        <v>0.3548611111111111</v>
      </c>
      <c r="O239" s="65" t="s">
        <v>1739</v>
      </c>
      <c r="P239" s="63"/>
      <c r="Q239" s="63"/>
      <c r="R239" s="63">
        <v>0.45694444444444443</v>
      </c>
      <c r="S239" s="62"/>
      <c r="T239" s="65" t="s">
        <v>394</v>
      </c>
      <c r="U239" s="62" t="s">
        <v>309</v>
      </c>
      <c r="V239" s="62" t="s">
        <v>1740</v>
      </c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</row>
    <row r="240">
      <c r="A240" s="61">
        <v>2021.0</v>
      </c>
      <c r="B240" s="61" t="s">
        <v>925</v>
      </c>
      <c r="C240" s="61">
        <v>3.0</v>
      </c>
      <c r="D240" s="62" t="s">
        <v>19</v>
      </c>
      <c r="E240" s="62" t="s">
        <v>68</v>
      </c>
      <c r="F240" s="61">
        <v>602.0</v>
      </c>
      <c r="G240" s="62"/>
      <c r="H240" s="62" t="s">
        <v>1737</v>
      </c>
      <c r="I240" s="62" t="s">
        <v>1738</v>
      </c>
      <c r="J240" s="61">
        <v>45.0</v>
      </c>
      <c r="K240" s="61">
        <v>8.0</v>
      </c>
      <c r="L240" s="61">
        <v>2.0</v>
      </c>
      <c r="M240" s="63"/>
      <c r="N240" s="63">
        <v>0.45694444444444443</v>
      </c>
      <c r="O240" s="65" t="s">
        <v>394</v>
      </c>
      <c r="P240" s="63"/>
      <c r="Q240" s="63"/>
      <c r="R240" s="63">
        <v>0.5118055555555555</v>
      </c>
      <c r="S240" s="62"/>
      <c r="T240" s="65" t="s">
        <v>240</v>
      </c>
      <c r="U240" s="62" t="s">
        <v>267</v>
      </c>
      <c r="V240" s="62" t="s">
        <v>1741</v>
      </c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</row>
    <row r="241">
      <c r="A241" s="61">
        <v>2021.0</v>
      </c>
      <c r="B241" s="61" t="s">
        <v>925</v>
      </c>
      <c r="C241" s="61">
        <v>3.0</v>
      </c>
      <c r="D241" s="62" t="s">
        <v>19</v>
      </c>
      <c r="E241" s="62" t="s">
        <v>68</v>
      </c>
      <c r="F241" s="61">
        <v>602.0</v>
      </c>
      <c r="G241" s="62"/>
      <c r="H241" s="62" t="s">
        <v>1737</v>
      </c>
      <c r="I241" s="62" t="s">
        <v>1738</v>
      </c>
      <c r="J241" s="61">
        <v>45.0</v>
      </c>
      <c r="K241" s="61">
        <v>8.0</v>
      </c>
      <c r="L241" s="61">
        <v>3.0</v>
      </c>
      <c r="M241" s="63"/>
      <c r="N241" s="63">
        <v>0.5118055555555555</v>
      </c>
      <c r="O241" s="65" t="s">
        <v>240</v>
      </c>
      <c r="P241" s="63"/>
      <c r="Q241" s="63"/>
      <c r="R241" s="63">
        <v>0.6756944444444445</v>
      </c>
      <c r="S241" s="62"/>
      <c r="T241" s="65" t="s">
        <v>1223</v>
      </c>
      <c r="U241" s="62" t="s">
        <v>309</v>
      </c>
      <c r="V241" s="62" t="s">
        <v>1742</v>
      </c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</row>
    <row r="242">
      <c r="A242" s="61">
        <v>2021.0</v>
      </c>
      <c r="B242" s="61" t="s">
        <v>925</v>
      </c>
      <c r="C242" s="61">
        <v>4.0</v>
      </c>
      <c r="D242" s="62" t="s">
        <v>19</v>
      </c>
      <c r="E242" s="62" t="s">
        <v>50</v>
      </c>
      <c r="F242" s="61">
        <v>604.0</v>
      </c>
      <c r="G242" s="62"/>
      <c r="H242" s="62" t="s">
        <v>1743</v>
      </c>
      <c r="I242" s="62" t="s">
        <v>1744</v>
      </c>
      <c r="J242" s="61">
        <v>69.0</v>
      </c>
      <c r="K242" s="61">
        <v>1.0</v>
      </c>
      <c r="L242" s="61">
        <v>1.0</v>
      </c>
      <c r="M242" s="63"/>
      <c r="N242" s="63">
        <v>0.4576388888888889</v>
      </c>
      <c r="O242" s="65" t="s">
        <v>1222</v>
      </c>
      <c r="P242" s="63"/>
      <c r="Q242" s="63"/>
      <c r="R242" s="63">
        <v>0.5319444444444444</v>
      </c>
      <c r="S242" s="62"/>
      <c r="T242" s="65" t="s">
        <v>1745</v>
      </c>
      <c r="U242" s="62" t="s">
        <v>287</v>
      </c>
      <c r="V242" s="62" t="s">
        <v>376</v>
      </c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</row>
    <row r="243">
      <c r="A243" s="61">
        <v>2021.0</v>
      </c>
      <c r="B243" s="61" t="s">
        <v>925</v>
      </c>
      <c r="C243" s="61">
        <v>4.0</v>
      </c>
      <c r="D243" s="62" t="s">
        <v>19</v>
      </c>
      <c r="E243" s="62" t="s">
        <v>50</v>
      </c>
      <c r="F243" s="61">
        <v>604.0</v>
      </c>
      <c r="G243" s="62"/>
      <c r="H243" s="62" t="s">
        <v>1743</v>
      </c>
      <c r="I243" s="62" t="s">
        <v>1744</v>
      </c>
      <c r="J243" s="61">
        <v>69.0</v>
      </c>
      <c r="K243" s="61">
        <v>1.0</v>
      </c>
      <c r="L243" s="61">
        <v>2.0</v>
      </c>
      <c r="M243" s="63"/>
      <c r="N243" s="63">
        <v>0.5319444444444444</v>
      </c>
      <c r="O243" s="65" t="s">
        <v>1745</v>
      </c>
      <c r="P243" s="63"/>
      <c r="Q243" s="63"/>
      <c r="R243" s="63">
        <v>0.6020833333333333</v>
      </c>
      <c r="S243" s="62"/>
      <c r="T243" s="65" t="s">
        <v>1746</v>
      </c>
      <c r="U243" s="62"/>
      <c r="V243" s="62" t="s">
        <v>376</v>
      </c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</row>
    <row r="244">
      <c r="A244" s="61">
        <v>2021.0</v>
      </c>
      <c r="B244" s="61" t="s">
        <v>925</v>
      </c>
      <c r="C244" s="61">
        <v>4.0</v>
      </c>
      <c r="D244" s="62" t="s">
        <v>19</v>
      </c>
      <c r="E244" s="62" t="s">
        <v>50</v>
      </c>
      <c r="F244" s="61">
        <v>605.0</v>
      </c>
      <c r="G244" s="62"/>
      <c r="H244" s="62" t="s">
        <v>1747</v>
      </c>
      <c r="I244" s="62" t="s">
        <v>1748</v>
      </c>
      <c r="J244" s="61">
        <v>58.0</v>
      </c>
      <c r="K244" s="61">
        <v>2.0</v>
      </c>
      <c r="L244" s="61">
        <v>1.0</v>
      </c>
      <c r="M244" s="63"/>
      <c r="N244" s="63">
        <v>0.46041666666666664</v>
      </c>
      <c r="O244" s="65" t="s">
        <v>283</v>
      </c>
      <c r="P244" s="63"/>
      <c r="Q244" s="63"/>
      <c r="R244" s="63">
        <v>0.5333333333333333</v>
      </c>
      <c r="S244" s="62"/>
      <c r="T244" s="65" t="s">
        <v>1749</v>
      </c>
      <c r="U244" s="62" t="s">
        <v>287</v>
      </c>
      <c r="V244" s="62" t="s">
        <v>411</v>
      </c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</row>
    <row r="245">
      <c r="A245" s="61">
        <v>2021.0</v>
      </c>
      <c r="B245" s="61" t="s">
        <v>925</v>
      </c>
      <c r="C245" s="61">
        <v>4.0</v>
      </c>
      <c r="D245" s="62" t="s">
        <v>19</v>
      </c>
      <c r="E245" s="62" t="s">
        <v>50</v>
      </c>
      <c r="F245" s="61">
        <v>605.0</v>
      </c>
      <c r="G245" s="62"/>
      <c r="H245" s="62" t="s">
        <v>1747</v>
      </c>
      <c r="I245" s="62" t="s">
        <v>1748</v>
      </c>
      <c r="J245" s="61">
        <v>58.0</v>
      </c>
      <c r="K245" s="61">
        <v>2.0</v>
      </c>
      <c r="L245" s="61">
        <v>2.0</v>
      </c>
      <c r="M245" s="63"/>
      <c r="N245" s="63">
        <v>0.5333333333333333</v>
      </c>
      <c r="O245" s="65" t="s">
        <v>1749</v>
      </c>
      <c r="P245" s="63"/>
      <c r="Q245" s="63"/>
      <c r="R245" s="63">
        <v>0.6034722222222222</v>
      </c>
      <c r="S245" s="62"/>
      <c r="T245" s="65" t="s">
        <v>1750</v>
      </c>
      <c r="U245" s="62" t="s">
        <v>287</v>
      </c>
      <c r="V245" s="62" t="s">
        <v>411</v>
      </c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</row>
    <row r="246">
      <c r="A246" s="61">
        <v>2021.0</v>
      </c>
      <c r="B246" s="61" t="s">
        <v>925</v>
      </c>
      <c r="C246" s="61">
        <v>4.0</v>
      </c>
      <c r="D246" s="62" t="s">
        <v>19</v>
      </c>
      <c r="E246" s="62" t="s">
        <v>50</v>
      </c>
      <c r="F246" s="61">
        <v>606.0</v>
      </c>
      <c r="G246" s="62"/>
      <c r="H246" s="62" t="s">
        <v>1751</v>
      </c>
      <c r="I246" s="62" t="s">
        <v>1752</v>
      </c>
      <c r="J246" s="61">
        <v>62.0</v>
      </c>
      <c r="K246" s="61">
        <v>3.0</v>
      </c>
      <c r="L246" s="61">
        <v>1.0</v>
      </c>
      <c r="M246" s="63"/>
      <c r="N246" s="63">
        <v>0.4618055555555556</v>
      </c>
      <c r="O246" s="65" t="s">
        <v>443</v>
      </c>
      <c r="P246" s="63"/>
      <c r="Q246" s="63"/>
      <c r="R246" s="63">
        <v>0.5354166666666667</v>
      </c>
      <c r="S246" s="62"/>
      <c r="T246" s="65" t="s">
        <v>1753</v>
      </c>
      <c r="U246" s="62" t="s">
        <v>287</v>
      </c>
      <c r="V246" s="62" t="s">
        <v>411</v>
      </c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</row>
    <row r="247">
      <c r="A247" s="61">
        <v>2021.0</v>
      </c>
      <c r="B247" s="61" t="s">
        <v>925</v>
      </c>
      <c r="C247" s="61">
        <v>4.0</v>
      </c>
      <c r="D247" s="62" t="s">
        <v>19</v>
      </c>
      <c r="E247" s="62" t="s">
        <v>50</v>
      </c>
      <c r="F247" s="61">
        <v>606.0</v>
      </c>
      <c r="G247" s="62"/>
      <c r="H247" s="62" t="s">
        <v>1751</v>
      </c>
      <c r="I247" s="62" t="s">
        <v>1752</v>
      </c>
      <c r="J247" s="61">
        <v>62.0</v>
      </c>
      <c r="K247" s="61">
        <v>3.0</v>
      </c>
      <c r="L247" s="61">
        <v>2.0</v>
      </c>
      <c r="M247" s="63"/>
      <c r="N247" s="63">
        <v>0.5354166666666667</v>
      </c>
      <c r="O247" s="65" t="s">
        <v>1753</v>
      </c>
      <c r="P247" s="63"/>
      <c r="Q247" s="63"/>
      <c r="R247" s="63">
        <v>0.6055555555555555</v>
      </c>
      <c r="S247" s="62"/>
      <c r="T247" s="65" t="s">
        <v>1754</v>
      </c>
      <c r="U247" s="62" t="s">
        <v>267</v>
      </c>
      <c r="V247" s="62" t="s">
        <v>422</v>
      </c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</row>
    <row r="248">
      <c r="A248" s="61">
        <v>2021.0</v>
      </c>
      <c r="B248" s="61" t="s">
        <v>925</v>
      </c>
      <c r="C248" s="61">
        <v>4.0</v>
      </c>
      <c r="D248" s="62" t="s">
        <v>19</v>
      </c>
      <c r="E248" s="62" t="s">
        <v>50</v>
      </c>
      <c r="F248" s="61">
        <v>607.0</v>
      </c>
      <c r="G248" s="62"/>
      <c r="H248" s="62" t="s">
        <v>1755</v>
      </c>
      <c r="I248" s="62" t="s">
        <v>1756</v>
      </c>
      <c r="J248" s="61">
        <v>52.0</v>
      </c>
      <c r="K248" s="61">
        <v>4.0</v>
      </c>
      <c r="L248" s="61">
        <v>1.0</v>
      </c>
      <c r="M248" s="63"/>
      <c r="N248" s="63">
        <v>0.46319444444444446</v>
      </c>
      <c r="O248" s="65" t="s">
        <v>1757</v>
      </c>
      <c r="P248" s="63"/>
      <c r="Q248" s="63"/>
      <c r="R248" s="63">
        <v>0.5375</v>
      </c>
      <c r="S248" s="62"/>
      <c r="T248" s="65" t="s">
        <v>1758</v>
      </c>
      <c r="U248" s="62" t="s">
        <v>267</v>
      </c>
      <c r="V248" s="62" t="s">
        <v>1759</v>
      </c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</row>
    <row r="249">
      <c r="A249" s="61">
        <v>2021.0</v>
      </c>
      <c r="B249" s="61" t="s">
        <v>925</v>
      </c>
      <c r="C249" s="61">
        <v>4.0</v>
      </c>
      <c r="D249" s="62" t="s">
        <v>19</v>
      </c>
      <c r="E249" s="62" t="s">
        <v>50</v>
      </c>
      <c r="F249" s="61">
        <v>607.0</v>
      </c>
      <c r="G249" s="62"/>
      <c r="H249" s="62" t="s">
        <v>1755</v>
      </c>
      <c r="I249" s="62" t="s">
        <v>1756</v>
      </c>
      <c r="J249" s="61">
        <v>52.0</v>
      </c>
      <c r="K249" s="61">
        <v>4.0</v>
      </c>
      <c r="L249" s="61">
        <v>2.0</v>
      </c>
      <c r="M249" s="63"/>
      <c r="N249" s="63">
        <v>0.5375</v>
      </c>
      <c r="O249" s="65" t="s">
        <v>1758</v>
      </c>
      <c r="P249" s="63"/>
      <c r="Q249" s="63"/>
      <c r="R249" s="63">
        <v>0.6069444444444444</v>
      </c>
      <c r="S249" s="62"/>
      <c r="T249" s="65" t="s">
        <v>1760</v>
      </c>
      <c r="U249" s="62" t="s">
        <v>287</v>
      </c>
      <c r="V249" s="62" t="s">
        <v>1761</v>
      </c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</row>
    <row r="250">
      <c r="A250" s="61">
        <v>2021.0</v>
      </c>
      <c r="B250" s="61" t="s">
        <v>925</v>
      </c>
      <c r="C250" s="61">
        <v>4.0</v>
      </c>
      <c r="D250" s="62" t="s">
        <v>19</v>
      </c>
      <c r="E250" s="62" t="s">
        <v>50</v>
      </c>
      <c r="F250" s="61">
        <v>608.0</v>
      </c>
      <c r="G250" s="62"/>
      <c r="H250" s="62" t="s">
        <v>1762</v>
      </c>
      <c r="I250" s="62" t="s">
        <v>1763</v>
      </c>
      <c r="J250" s="61">
        <v>60.0</v>
      </c>
      <c r="K250" s="61">
        <v>5.0</v>
      </c>
      <c r="L250" s="61">
        <v>1.0</v>
      </c>
      <c r="M250" s="63"/>
      <c r="N250" s="63">
        <v>0.46458333333333335</v>
      </c>
      <c r="O250" s="65" t="s">
        <v>1605</v>
      </c>
      <c r="P250" s="63"/>
      <c r="Q250" s="63"/>
      <c r="R250" s="63">
        <v>0.5472222222222223</v>
      </c>
      <c r="S250" s="62"/>
      <c r="T250" s="65" t="s">
        <v>1764</v>
      </c>
      <c r="U250" s="62" t="s">
        <v>267</v>
      </c>
      <c r="V250" s="62" t="s">
        <v>422</v>
      </c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</row>
    <row r="251">
      <c r="A251" s="61">
        <v>2021.0</v>
      </c>
      <c r="B251" s="61" t="s">
        <v>925</v>
      </c>
      <c r="C251" s="61">
        <v>4.0</v>
      </c>
      <c r="D251" s="62" t="s">
        <v>19</v>
      </c>
      <c r="E251" s="62" t="s">
        <v>50</v>
      </c>
      <c r="F251" s="61">
        <v>608.0</v>
      </c>
      <c r="G251" s="62"/>
      <c r="H251" s="62" t="s">
        <v>1762</v>
      </c>
      <c r="I251" s="62" t="s">
        <v>1763</v>
      </c>
      <c r="J251" s="61">
        <v>60.0</v>
      </c>
      <c r="K251" s="61">
        <v>5.0</v>
      </c>
      <c r="L251" s="61">
        <v>2.0</v>
      </c>
      <c r="M251" s="63"/>
      <c r="N251" s="63">
        <v>0.5472222222222223</v>
      </c>
      <c r="O251" s="65" t="s">
        <v>1764</v>
      </c>
      <c r="P251" s="63"/>
      <c r="Q251" s="63"/>
      <c r="R251" s="63">
        <v>0.6270833333333333</v>
      </c>
      <c r="S251" s="62"/>
      <c r="T251" s="65" t="s">
        <v>346</v>
      </c>
      <c r="U251" s="62" t="s">
        <v>309</v>
      </c>
      <c r="V251" s="62" t="s">
        <v>422</v>
      </c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</row>
    <row r="252">
      <c r="A252" s="61">
        <v>2021.0</v>
      </c>
      <c r="B252" s="61" t="s">
        <v>925</v>
      </c>
      <c r="C252" s="61">
        <v>4.0</v>
      </c>
      <c r="D252" s="62" t="s">
        <v>19</v>
      </c>
      <c r="E252" s="62" t="s">
        <v>50</v>
      </c>
      <c r="F252" s="61">
        <v>609.0</v>
      </c>
      <c r="G252" s="62"/>
      <c r="H252" s="62" t="s">
        <v>1765</v>
      </c>
      <c r="I252" s="62" t="s">
        <v>1766</v>
      </c>
      <c r="J252" s="61">
        <v>58.0</v>
      </c>
      <c r="K252" s="61">
        <v>6.0</v>
      </c>
      <c r="L252" s="61">
        <v>1.0</v>
      </c>
      <c r="M252" s="63"/>
      <c r="N252" s="63">
        <v>0.46597222222222223</v>
      </c>
      <c r="O252" s="65" t="s">
        <v>468</v>
      </c>
      <c r="P252" s="63"/>
      <c r="Q252" s="63"/>
      <c r="R252" s="63">
        <v>0.5513888888888889</v>
      </c>
      <c r="S252" s="62"/>
      <c r="T252" s="65" t="s">
        <v>1767</v>
      </c>
      <c r="U252" s="62" t="s">
        <v>267</v>
      </c>
      <c r="V252" s="62" t="s">
        <v>422</v>
      </c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</row>
    <row r="253">
      <c r="A253" s="61">
        <v>2021.0</v>
      </c>
      <c r="B253" s="61" t="s">
        <v>925</v>
      </c>
      <c r="C253" s="61">
        <v>4.0</v>
      </c>
      <c r="D253" s="62" t="s">
        <v>19</v>
      </c>
      <c r="E253" s="62" t="s">
        <v>50</v>
      </c>
      <c r="F253" s="61">
        <v>609.0</v>
      </c>
      <c r="G253" s="62"/>
      <c r="H253" s="62" t="s">
        <v>1765</v>
      </c>
      <c r="I253" s="62" t="s">
        <v>1766</v>
      </c>
      <c r="J253" s="61">
        <v>58.0</v>
      </c>
      <c r="K253" s="61">
        <v>6.0</v>
      </c>
      <c r="L253" s="61">
        <v>2.0</v>
      </c>
      <c r="M253" s="63"/>
      <c r="N253" s="63">
        <v>0.5513888888888889</v>
      </c>
      <c r="O253" s="65" t="s">
        <v>1767</v>
      </c>
      <c r="P253" s="63"/>
      <c r="Q253" s="63"/>
      <c r="R253" s="63">
        <v>0.6284722222222222</v>
      </c>
      <c r="S253" s="62"/>
      <c r="T253" s="65" t="s">
        <v>365</v>
      </c>
      <c r="U253" s="62" t="s">
        <v>287</v>
      </c>
      <c r="V253" s="62" t="s">
        <v>1768</v>
      </c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</row>
    <row r="254">
      <c r="A254" s="61">
        <v>2021.0</v>
      </c>
      <c r="B254" s="61" t="s">
        <v>925</v>
      </c>
      <c r="C254" s="61">
        <v>4.0</v>
      </c>
      <c r="D254" s="62" t="s">
        <v>19</v>
      </c>
      <c r="E254" s="62" t="s">
        <v>50</v>
      </c>
      <c r="F254" s="61">
        <v>610.0</v>
      </c>
      <c r="G254" s="62"/>
      <c r="H254" s="62" t="s">
        <v>1769</v>
      </c>
      <c r="I254" s="62" t="s">
        <v>1770</v>
      </c>
      <c r="J254" s="61">
        <v>58.0</v>
      </c>
      <c r="K254" s="61">
        <v>7.0</v>
      </c>
      <c r="L254" s="61">
        <v>1.0</v>
      </c>
      <c r="M254" s="63"/>
      <c r="N254" s="63">
        <v>0.4666666666666667</v>
      </c>
      <c r="O254" s="65" t="s">
        <v>1771</v>
      </c>
      <c r="P254" s="63"/>
      <c r="Q254" s="63"/>
      <c r="R254" s="63">
        <v>0.5520833333333334</v>
      </c>
      <c r="S254" s="62"/>
      <c r="T254" s="65" t="s">
        <v>1772</v>
      </c>
      <c r="U254" s="62" t="s">
        <v>309</v>
      </c>
      <c r="V254" s="62" t="s">
        <v>422</v>
      </c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</row>
    <row r="255">
      <c r="A255" s="61">
        <v>2021.0</v>
      </c>
      <c r="B255" s="61" t="s">
        <v>925</v>
      </c>
      <c r="C255" s="61">
        <v>4.0</v>
      </c>
      <c r="D255" s="62" t="s">
        <v>19</v>
      </c>
      <c r="E255" s="62" t="s">
        <v>50</v>
      </c>
      <c r="F255" s="61">
        <v>610.0</v>
      </c>
      <c r="G255" s="62"/>
      <c r="H255" s="62" t="s">
        <v>1769</v>
      </c>
      <c r="I255" s="62" t="s">
        <v>1770</v>
      </c>
      <c r="J255" s="61">
        <v>58.0</v>
      </c>
      <c r="K255" s="61">
        <v>7.0</v>
      </c>
      <c r="L255" s="61">
        <v>2.0</v>
      </c>
      <c r="M255" s="63"/>
      <c r="N255" s="63">
        <v>0.5520833333333334</v>
      </c>
      <c r="O255" s="65" t="s">
        <v>1772</v>
      </c>
      <c r="P255" s="63"/>
      <c r="Q255" s="63"/>
      <c r="R255" s="63">
        <v>0.63125</v>
      </c>
      <c r="S255" s="62"/>
      <c r="T255" s="65" t="s">
        <v>1773</v>
      </c>
      <c r="U255" s="62" t="s">
        <v>267</v>
      </c>
      <c r="V255" s="62" t="s">
        <v>422</v>
      </c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</row>
    <row r="256">
      <c r="A256" s="61">
        <v>2021.0</v>
      </c>
      <c r="B256" s="61" t="s">
        <v>925</v>
      </c>
      <c r="C256" s="61">
        <v>4.0</v>
      </c>
      <c r="D256" s="62" t="s">
        <v>19</v>
      </c>
      <c r="E256" s="62" t="s">
        <v>50</v>
      </c>
      <c r="F256" s="61">
        <v>611.0</v>
      </c>
      <c r="G256" s="62"/>
      <c r="H256" s="62" t="s">
        <v>1774</v>
      </c>
      <c r="I256" s="62" t="s">
        <v>1775</v>
      </c>
      <c r="J256" s="61">
        <v>62.0</v>
      </c>
      <c r="K256" s="61">
        <v>8.0</v>
      </c>
      <c r="L256" s="61">
        <v>1.0</v>
      </c>
      <c r="M256" s="63"/>
      <c r="N256" s="63">
        <v>0.46805555555555556</v>
      </c>
      <c r="O256" s="65" t="s">
        <v>292</v>
      </c>
      <c r="P256" s="63"/>
      <c r="Q256" s="63"/>
      <c r="R256" s="63">
        <v>0.5534722222222223</v>
      </c>
      <c r="S256" s="62"/>
      <c r="T256" s="65" t="s">
        <v>1776</v>
      </c>
      <c r="U256" s="62" t="s">
        <v>309</v>
      </c>
      <c r="V256" s="62" t="s">
        <v>1777</v>
      </c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</row>
    <row r="257">
      <c r="A257" s="61">
        <v>2021.0</v>
      </c>
      <c r="B257" s="61" t="s">
        <v>925</v>
      </c>
      <c r="C257" s="61">
        <v>4.0</v>
      </c>
      <c r="D257" s="62" t="s">
        <v>19</v>
      </c>
      <c r="E257" s="62" t="s">
        <v>50</v>
      </c>
      <c r="F257" s="61">
        <v>611.0</v>
      </c>
      <c r="G257" s="62"/>
      <c r="H257" s="62" t="s">
        <v>1774</v>
      </c>
      <c r="I257" s="62" t="s">
        <v>1775</v>
      </c>
      <c r="J257" s="61">
        <v>62.0</v>
      </c>
      <c r="K257" s="61">
        <v>8.0</v>
      </c>
      <c r="L257" s="61">
        <v>2.0</v>
      </c>
      <c r="M257" s="63"/>
      <c r="N257" s="63">
        <v>0.5534722222222223</v>
      </c>
      <c r="O257" s="65" t="s">
        <v>1776</v>
      </c>
      <c r="P257" s="63"/>
      <c r="Q257" s="63"/>
      <c r="R257" s="63">
        <v>0.6340277777777777</v>
      </c>
      <c r="S257" s="62"/>
      <c r="T257" s="65" t="s">
        <v>744</v>
      </c>
      <c r="U257" s="62" t="s">
        <v>309</v>
      </c>
      <c r="V257" s="62" t="s">
        <v>1768</v>
      </c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</row>
    <row r="258">
      <c r="A258" s="61">
        <v>2021.0</v>
      </c>
      <c r="B258" s="61" t="s">
        <v>925</v>
      </c>
      <c r="C258" s="61">
        <v>5.0</v>
      </c>
      <c r="D258" s="62" t="s">
        <v>19</v>
      </c>
      <c r="E258" s="62" t="s">
        <v>68</v>
      </c>
      <c r="F258" s="61">
        <v>613.0</v>
      </c>
      <c r="G258" s="62"/>
      <c r="H258" s="62" t="s">
        <v>1778</v>
      </c>
      <c r="I258" s="62" t="s">
        <v>1779</v>
      </c>
      <c r="J258" s="61">
        <v>47.0</v>
      </c>
      <c r="K258" s="61">
        <v>1.0</v>
      </c>
      <c r="L258" s="61">
        <v>1.0</v>
      </c>
      <c r="M258" s="63"/>
      <c r="N258" s="63">
        <v>0.34375</v>
      </c>
      <c r="O258" s="65" t="s">
        <v>1780</v>
      </c>
      <c r="P258" s="63"/>
      <c r="Q258" s="63"/>
      <c r="R258" s="63">
        <v>0.4027777777777778</v>
      </c>
      <c r="S258" s="62"/>
      <c r="T258" s="65" t="s">
        <v>1620</v>
      </c>
      <c r="U258" s="62" t="s">
        <v>287</v>
      </c>
      <c r="V258" s="62" t="s">
        <v>1781</v>
      </c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</row>
    <row r="259">
      <c r="A259" s="61">
        <v>2021.0</v>
      </c>
      <c r="B259" s="61" t="s">
        <v>925</v>
      </c>
      <c r="C259" s="61">
        <v>5.0</v>
      </c>
      <c r="D259" s="62" t="s">
        <v>19</v>
      </c>
      <c r="E259" s="62" t="s">
        <v>68</v>
      </c>
      <c r="F259" s="61">
        <v>613.0</v>
      </c>
      <c r="G259" s="62"/>
      <c r="H259" s="62" t="s">
        <v>1778</v>
      </c>
      <c r="I259" s="62" t="s">
        <v>1779</v>
      </c>
      <c r="J259" s="61">
        <v>47.0</v>
      </c>
      <c r="K259" s="61">
        <v>1.0</v>
      </c>
      <c r="L259" s="61">
        <v>2.0</v>
      </c>
      <c r="M259" s="63"/>
      <c r="N259" s="63">
        <v>0.4027777777777778</v>
      </c>
      <c r="O259" s="65" t="s">
        <v>1620</v>
      </c>
      <c r="P259" s="63"/>
      <c r="Q259" s="63"/>
      <c r="R259" s="63">
        <v>0.4652777777777778</v>
      </c>
      <c r="S259" s="62"/>
      <c r="T259" s="65" t="s">
        <v>1234</v>
      </c>
      <c r="U259" s="62" t="s">
        <v>287</v>
      </c>
      <c r="V259" s="62" t="s">
        <v>376</v>
      </c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</row>
    <row r="260">
      <c r="A260" s="61">
        <v>2021.0</v>
      </c>
      <c r="B260" s="61" t="s">
        <v>925</v>
      </c>
      <c r="C260" s="61">
        <v>5.0</v>
      </c>
      <c r="D260" s="62" t="s">
        <v>19</v>
      </c>
      <c r="E260" s="62" t="s">
        <v>68</v>
      </c>
      <c r="F260" s="61">
        <v>613.0</v>
      </c>
      <c r="G260" s="62"/>
      <c r="H260" s="62" t="s">
        <v>1778</v>
      </c>
      <c r="I260" s="62" t="s">
        <v>1779</v>
      </c>
      <c r="J260" s="61">
        <v>47.0</v>
      </c>
      <c r="K260" s="61">
        <v>1.0</v>
      </c>
      <c r="L260" s="61">
        <v>3.0</v>
      </c>
      <c r="M260" s="63"/>
      <c r="N260" s="63">
        <v>0.4652777777777778</v>
      </c>
      <c r="O260" s="65" t="s">
        <v>1234</v>
      </c>
      <c r="P260" s="63"/>
      <c r="Q260" s="63"/>
      <c r="R260" s="63">
        <v>0.5854166666666667</v>
      </c>
      <c r="S260" s="62"/>
      <c r="T260" s="65" t="s">
        <v>676</v>
      </c>
      <c r="U260" s="62"/>
      <c r="V260" s="62" t="s">
        <v>411</v>
      </c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</row>
    <row r="261">
      <c r="A261" s="61">
        <v>2021.0</v>
      </c>
      <c r="B261" s="61" t="s">
        <v>925</v>
      </c>
      <c r="C261" s="61">
        <v>5.0</v>
      </c>
      <c r="D261" s="62" t="s">
        <v>19</v>
      </c>
      <c r="E261" s="62" t="s">
        <v>68</v>
      </c>
      <c r="F261" s="61">
        <v>613.0</v>
      </c>
      <c r="G261" s="62"/>
      <c r="H261" s="62" t="s">
        <v>1778</v>
      </c>
      <c r="I261" s="62" t="s">
        <v>1779</v>
      </c>
      <c r="J261" s="61">
        <v>47.0</v>
      </c>
      <c r="K261" s="61">
        <v>1.0</v>
      </c>
      <c r="L261" s="61">
        <v>4.0</v>
      </c>
      <c r="M261" s="63"/>
      <c r="N261" s="63">
        <v>0.5854166666666667</v>
      </c>
      <c r="O261" s="65" t="s">
        <v>676</v>
      </c>
      <c r="P261" s="63"/>
      <c r="Q261" s="63"/>
      <c r="R261" s="63">
        <v>0.6444444444444445</v>
      </c>
      <c r="S261" s="62"/>
      <c r="T261" s="65" t="s">
        <v>481</v>
      </c>
      <c r="U261" s="62" t="s">
        <v>309</v>
      </c>
      <c r="V261" s="62" t="s">
        <v>376</v>
      </c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</row>
    <row r="262">
      <c r="A262" s="61">
        <v>2021.0</v>
      </c>
      <c r="B262" s="61" t="s">
        <v>925</v>
      </c>
      <c r="C262" s="61">
        <v>5.0</v>
      </c>
      <c r="D262" s="62" t="s">
        <v>19</v>
      </c>
      <c r="E262" s="62" t="s">
        <v>68</v>
      </c>
      <c r="F262" s="69">
        <v>613.0</v>
      </c>
      <c r="G262" s="70"/>
      <c r="H262" s="70" t="s">
        <v>1778</v>
      </c>
      <c r="I262" s="70" t="s">
        <v>1779</v>
      </c>
      <c r="J262" s="69">
        <v>47.0</v>
      </c>
      <c r="K262" s="69">
        <v>1.0</v>
      </c>
      <c r="L262" s="70" t="s">
        <v>1782</v>
      </c>
      <c r="M262" s="71"/>
      <c r="N262" s="71">
        <v>0.6444444444444445</v>
      </c>
      <c r="O262" s="72" t="s">
        <v>481</v>
      </c>
      <c r="P262" s="71"/>
      <c r="Q262" s="71"/>
      <c r="R262" s="71">
        <v>0.7090277777777778</v>
      </c>
      <c r="S262" s="70"/>
      <c r="T262" s="72" t="s">
        <v>1783</v>
      </c>
      <c r="U262" s="70" t="s">
        <v>287</v>
      </c>
      <c r="V262" s="70" t="s">
        <v>1782</v>
      </c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</row>
    <row r="263">
      <c r="A263" s="61">
        <v>2021.0</v>
      </c>
      <c r="B263" s="61" t="s">
        <v>925</v>
      </c>
      <c r="C263" s="61">
        <v>5.0</v>
      </c>
      <c r="D263" s="62" t="s">
        <v>19</v>
      </c>
      <c r="E263" s="62" t="s">
        <v>68</v>
      </c>
      <c r="F263" s="61">
        <v>614.0</v>
      </c>
      <c r="G263" s="62"/>
      <c r="H263" s="62" t="s">
        <v>1784</v>
      </c>
      <c r="I263" s="62" t="s">
        <v>1785</v>
      </c>
      <c r="J263" s="61">
        <v>46.0</v>
      </c>
      <c r="K263" s="61">
        <v>2.0</v>
      </c>
      <c r="L263" s="61">
        <v>1.0</v>
      </c>
      <c r="M263" s="63"/>
      <c r="N263" s="63">
        <v>0.3451388888888889</v>
      </c>
      <c r="O263" s="65" t="s">
        <v>1786</v>
      </c>
      <c r="P263" s="63"/>
      <c r="Q263" s="63"/>
      <c r="R263" s="63">
        <v>0.4152777777777778</v>
      </c>
      <c r="S263" s="62"/>
      <c r="T263" s="65" t="s">
        <v>1787</v>
      </c>
      <c r="U263" s="62" t="s">
        <v>267</v>
      </c>
      <c r="V263" s="62" t="s">
        <v>1788</v>
      </c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</row>
    <row r="264">
      <c r="A264" s="61">
        <v>2021.0</v>
      </c>
      <c r="B264" s="61" t="s">
        <v>925</v>
      </c>
      <c r="C264" s="61">
        <v>5.0</v>
      </c>
      <c r="D264" s="62" t="s">
        <v>19</v>
      </c>
      <c r="E264" s="62" t="s">
        <v>68</v>
      </c>
      <c r="F264" s="61">
        <v>614.0</v>
      </c>
      <c r="G264" s="62"/>
      <c r="H264" s="62" t="s">
        <v>1784</v>
      </c>
      <c r="I264" s="62" t="s">
        <v>1785</v>
      </c>
      <c r="J264" s="61">
        <v>46.0</v>
      </c>
      <c r="K264" s="61">
        <v>2.0</v>
      </c>
      <c r="L264" s="61">
        <v>2.0</v>
      </c>
      <c r="M264" s="63"/>
      <c r="N264" s="63">
        <v>0.4152777777777778</v>
      </c>
      <c r="O264" s="65" t="s">
        <v>1787</v>
      </c>
      <c r="P264" s="63"/>
      <c r="Q264" s="63"/>
      <c r="R264" s="63">
        <v>0.4666666666666667</v>
      </c>
      <c r="S264" s="62"/>
      <c r="T264" s="65" t="s">
        <v>1771</v>
      </c>
      <c r="U264" s="62" t="s">
        <v>287</v>
      </c>
      <c r="V264" s="62" t="s">
        <v>422</v>
      </c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</row>
    <row r="265">
      <c r="A265" s="61">
        <v>2021.0</v>
      </c>
      <c r="B265" s="61" t="s">
        <v>925</v>
      </c>
      <c r="C265" s="61">
        <v>5.0</v>
      </c>
      <c r="D265" s="62" t="s">
        <v>19</v>
      </c>
      <c r="E265" s="62" t="s">
        <v>68</v>
      </c>
      <c r="F265" s="61">
        <v>614.0</v>
      </c>
      <c r="G265" s="62"/>
      <c r="H265" s="62" t="s">
        <v>1784</v>
      </c>
      <c r="I265" s="62" t="s">
        <v>1785</v>
      </c>
      <c r="J265" s="61">
        <v>46.0</v>
      </c>
      <c r="K265" s="61">
        <v>2.0</v>
      </c>
      <c r="L265" s="61">
        <v>3.0</v>
      </c>
      <c r="M265" s="63"/>
      <c r="N265" s="63">
        <v>0.4666666666666667</v>
      </c>
      <c r="O265" s="65" t="s">
        <v>1771</v>
      </c>
      <c r="P265" s="63"/>
      <c r="Q265" s="63"/>
      <c r="R265" s="63">
        <v>0.5881944444444445</v>
      </c>
      <c r="S265" s="62"/>
      <c r="T265" s="65" t="s">
        <v>682</v>
      </c>
      <c r="U265" s="62" t="s">
        <v>287</v>
      </c>
      <c r="V265" s="62" t="s">
        <v>422</v>
      </c>
      <c r="W265" s="62" t="s">
        <v>1789</v>
      </c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</row>
    <row r="266">
      <c r="A266" s="61">
        <v>2021.0</v>
      </c>
      <c r="B266" s="61" t="s">
        <v>925</v>
      </c>
      <c r="C266" s="61">
        <v>5.0</v>
      </c>
      <c r="D266" s="62" t="s">
        <v>19</v>
      </c>
      <c r="E266" s="62" t="s">
        <v>68</v>
      </c>
      <c r="F266" s="61">
        <v>614.0</v>
      </c>
      <c r="G266" s="62"/>
      <c r="H266" s="62" t="s">
        <v>1784</v>
      </c>
      <c r="I266" s="62" t="s">
        <v>1785</v>
      </c>
      <c r="J266" s="61">
        <v>46.0</v>
      </c>
      <c r="K266" s="61">
        <v>2.0</v>
      </c>
      <c r="L266" s="61">
        <v>4.0</v>
      </c>
      <c r="M266" s="63"/>
      <c r="N266" s="63">
        <v>0.5881944444444445</v>
      </c>
      <c r="O266" s="65" t="s">
        <v>682</v>
      </c>
      <c r="P266" s="63"/>
      <c r="Q266" s="63"/>
      <c r="R266" s="63">
        <v>0.6458333333333334</v>
      </c>
      <c r="S266" s="62"/>
      <c r="T266" s="65" t="s">
        <v>1301</v>
      </c>
      <c r="U266" s="62" t="s">
        <v>287</v>
      </c>
      <c r="V266" s="62" t="s">
        <v>411</v>
      </c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</row>
    <row r="267">
      <c r="A267" s="61">
        <v>2021.0</v>
      </c>
      <c r="B267" s="61" t="s">
        <v>925</v>
      </c>
      <c r="C267" s="61">
        <v>5.0</v>
      </c>
      <c r="D267" s="62" t="s">
        <v>19</v>
      </c>
      <c r="E267" s="62" t="s">
        <v>68</v>
      </c>
      <c r="F267" s="69">
        <v>614.0</v>
      </c>
      <c r="G267" s="70"/>
      <c r="H267" s="70" t="s">
        <v>1784</v>
      </c>
      <c r="I267" s="70" t="s">
        <v>1785</v>
      </c>
      <c r="J267" s="69">
        <v>46.0</v>
      </c>
      <c r="K267" s="69">
        <v>2.0</v>
      </c>
      <c r="L267" s="70" t="s">
        <v>1782</v>
      </c>
      <c r="M267" s="71"/>
      <c r="N267" s="71">
        <v>0.6458333333333334</v>
      </c>
      <c r="O267" s="72" t="s">
        <v>1301</v>
      </c>
      <c r="P267" s="71"/>
      <c r="Q267" s="71"/>
      <c r="R267" s="71">
        <v>0.7111111111111111</v>
      </c>
      <c r="S267" s="70"/>
      <c r="T267" s="72" t="s">
        <v>1790</v>
      </c>
      <c r="U267" s="70" t="s">
        <v>287</v>
      </c>
      <c r="V267" s="70" t="s">
        <v>1782</v>
      </c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</row>
    <row r="268">
      <c r="A268" s="61">
        <v>2021.0</v>
      </c>
      <c r="B268" s="61" t="s">
        <v>925</v>
      </c>
      <c r="C268" s="61">
        <v>5.0</v>
      </c>
      <c r="D268" s="62" t="s">
        <v>19</v>
      </c>
      <c r="E268" s="62" t="s">
        <v>68</v>
      </c>
      <c r="F268" s="61">
        <v>615.0</v>
      </c>
      <c r="G268" s="62"/>
      <c r="H268" s="62" t="s">
        <v>1791</v>
      </c>
      <c r="I268" s="62" t="s">
        <v>1792</v>
      </c>
      <c r="J268" s="61">
        <v>49.0</v>
      </c>
      <c r="K268" s="61">
        <v>3.0</v>
      </c>
      <c r="L268" s="61">
        <v>1.0</v>
      </c>
      <c r="M268" s="63"/>
      <c r="N268" s="63">
        <v>0.3458333333333333</v>
      </c>
      <c r="O268" s="65" t="s">
        <v>1793</v>
      </c>
      <c r="P268" s="63"/>
      <c r="Q268" s="63"/>
      <c r="R268" s="63">
        <v>0.41875</v>
      </c>
      <c r="S268" s="62"/>
      <c r="T268" s="65" t="s">
        <v>1794</v>
      </c>
      <c r="U268" s="62" t="s">
        <v>287</v>
      </c>
      <c r="V268" s="62" t="s">
        <v>422</v>
      </c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</row>
    <row r="269">
      <c r="A269" s="61">
        <v>2021.0</v>
      </c>
      <c r="B269" s="61" t="s">
        <v>925</v>
      </c>
      <c r="C269" s="61">
        <v>5.0</v>
      </c>
      <c r="D269" s="62" t="s">
        <v>19</v>
      </c>
      <c r="E269" s="62" t="s">
        <v>68</v>
      </c>
      <c r="F269" s="61">
        <v>615.0</v>
      </c>
      <c r="G269" s="62"/>
      <c r="H269" s="62" t="s">
        <v>1791</v>
      </c>
      <c r="I269" s="62" t="s">
        <v>1792</v>
      </c>
      <c r="J269" s="61">
        <v>49.0</v>
      </c>
      <c r="K269" s="61">
        <v>3.0</v>
      </c>
      <c r="L269" s="61">
        <v>2.0</v>
      </c>
      <c r="M269" s="63"/>
      <c r="N269" s="63">
        <v>0.41875</v>
      </c>
      <c r="O269" s="65" t="s">
        <v>1794</v>
      </c>
      <c r="P269" s="63"/>
      <c r="Q269" s="63"/>
      <c r="R269" s="63">
        <v>0.46944444444444444</v>
      </c>
      <c r="S269" s="62"/>
      <c r="T269" s="65" t="s">
        <v>1795</v>
      </c>
      <c r="U269" s="62" t="s">
        <v>309</v>
      </c>
      <c r="V269" s="62" t="s">
        <v>422</v>
      </c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</row>
    <row r="270">
      <c r="A270" s="61">
        <v>2021.0</v>
      </c>
      <c r="B270" s="61" t="s">
        <v>925</v>
      </c>
      <c r="C270" s="61">
        <v>5.0</v>
      </c>
      <c r="D270" s="62" t="s">
        <v>19</v>
      </c>
      <c r="E270" s="62" t="s">
        <v>68</v>
      </c>
      <c r="F270" s="61">
        <v>615.0</v>
      </c>
      <c r="G270" s="62"/>
      <c r="H270" s="62" t="s">
        <v>1791</v>
      </c>
      <c r="I270" s="62" t="s">
        <v>1792</v>
      </c>
      <c r="J270" s="61">
        <v>49.0</v>
      </c>
      <c r="K270" s="61">
        <v>3.0</v>
      </c>
      <c r="L270" s="61">
        <v>3.0</v>
      </c>
      <c r="M270" s="63"/>
      <c r="N270" s="63">
        <v>0.46944444444444444</v>
      </c>
      <c r="O270" s="65" t="s">
        <v>1795</v>
      </c>
      <c r="P270" s="63"/>
      <c r="Q270" s="63"/>
      <c r="R270" s="63">
        <v>0.5902777777777778</v>
      </c>
      <c r="S270" s="62"/>
      <c r="T270" s="65" t="s">
        <v>1796</v>
      </c>
      <c r="U270" s="62" t="s">
        <v>309</v>
      </c>
      <c r="V270" s="62" t="s">
        <v>1797</v>
      </c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</row>
    <row r="271">
      <c r="A271" s="61">
        <v>2021.0</v>
      </c>
      <c r="B271" s="61" t="s">
        <v>925</v>
      </c>
      <c r="C271" s="61">
        <v>5.0</v>
      </c>
      <c r="D271" s="62" t="s">
        <v>19</v>
      </c>
      <c r="E271" s="62" t="s">
        <v>68</v>
      </c>
      <c r="F271" s="61">
        <v>615.0</v>
      </c>
      <c r="G271" s="62"/>
      <c r="H271" s="62" t="s">
        <v>1791</v>
      </c>
      <c r="I271" s="62" t="s">
        <v>1792</v>
      </c>
      <c r="J271" s="61">
        <v>49.0</v>
      </c>
      <c r="K271" s="61">
        <v>3.0</v>
      </c>
      <c r="L271" s="61">
        <v>4.0</v>
      </c>
      <c r="M271" s="63"/>
      <c r="N271" s="63">
        <v>0.5902777777777778</v>
      </c>
      <c r="O271" s="65" t="s">
        <v>1796</v>
      </c>
      <c r="P271" s="63"/>
      <c r="Q271" s="63"/>
      <c r="R271" s="63">
        <v>0.6479166666666667</v>
      </c>
      <c r="S271" s="62"/>
      <c r="T271" s="65" t="s">
        <v>489</v>
      </c>
      <c r="U271" s="62" t="s">
        <v>309</v>
      </c>
      <c r="V271" s="62" t="s">
        <v>422</v>
      </c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</row>
    <row r="272">
      <c r="A272" s="61">
        <v>2021.0</v>
      </c>
      <c r="B272" s="61" t="s">
        <v>925</v>
      </c>
      <c r="C272" s="61">
        <v>5.0</v>
      </c>
      <c r="D272" s="62" t="s">
        <v>19</v>
      </c>
      <c r="E272" s="62" t="s">
        <v>68</v>
      </c>
      <c r="F272" s="69">
        <v>615.0</v>
      </c>
      <c r="G272" s="70"/>
      <c r="H272" s="70" t="s">
        <v>1791</v>
      </c>
      <c r="I272" s="70" t="s">
        <v>1792</v>
      </c>
      <c r="J272" s="69">
        <v>49.0</v>
      </c>
      <c r="K272" s="69">
        <v>3.0</v>
      </c>
      <c r="L272" s="70" t="s">
        <v>1782</v>
      </c>
      <c r="M272" s="71"/>
      <c r="N272" s="71">
        <v>0.6479166666666667</v>
      </c>
      <c r="O272" s="72" t="s">
        <v>489</v>
      </c>
      <c r="P272" s="71"/>
      <c r="Q272" s="71"/>
      <c r="R272" s="71">
        <v>0.7131944444444445</v>
      </c>
      <c r="S272" s="70"/>
      <c r="T272" s="72" t="s">
        <v>848</v>
      </c>
      <c r="U272" s="70" t="s">
        <v>287</v>
      </c>
      <c r="V272" s="70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</row>
    <row r="273">
      <c r="A273" s="61">
        <v>2021.0</v>
      </c>
      <c r="B273" s="61" t="s">
        <v>925</v>
      </c>
      <c r="C273" s="61">
        <v>5.0</v>
      </c>
      <c r="D273" s="62" t="s">
        <v>19</v>
      </c>
      <c r="E273" s="62" t="s">
        <v>68</v>
      </c>
      <c r="F273" s="61">
        <v>616.0</v>
      </c>
      <c r="G273" s="62"/>
      <c r="H273" s="62" t="s">
        <v>1798</v>
      </c>
      <c r="I273" s="62" t="s">
        <v>1799</v>
      </c>
      <c r="J273" s="61">
        <v>44.0</v>
      </c>
      <c r="K273" s="61">
        <v>4.0</v>
      </c>
      <c r="L273" s="61">
        <v>1.0</v>
      </c>
      <c r="M273" s="63"/>
      <c r="N273" s="63">
        <v>0.3472222222222222</v>
      </c>
      <c r="O273" s="65" t="s">
        <v>1702</v>
      </c>
      <c r="P273" s="63"/>
      <c r="Q273" s="63"/>
      <c r="R273" s="63">
        <v>0.4201388888888889</v>
      </c>
      <c r="S273" s="62"/>
      <c r="T273" s="65" t="s">
        <v>1800</v>
      </c>
      <c r="U273" s="62" t="s">
        <v>267</v>
      </c>
      <c r="V273" s="62" t="s">
        <v>376</v>
      </c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</row>
    <row r="274">
      <c r="A274" s="61">
        <v>2021.0</v>
      </c>
      <c r="B274" s="61" t="s">
        <v>925</v>
      </c>
      <c r="C274" s="61">
        <v>5.0</v>
      </c>
      <c r="D274" s="62" t="s">
        <v>19</v>
      </c>
      <c r="E274" s="62" t="s">
        <v>68</v>
      </c>
      <c r="F274" s="61">
        <v>616.0</v>
      </c>
      <c r="G274" s="62"/>
      <c r="H274" s="62" t="s">
        <v>1798</v>
      </c>
      <c r="I274" s="62" t="s">
        <v>1799</v>
      </c>
      <c r="J274" s="61">
        <v>44.0</v>
      </c>
      <c r="K274" s="61">
        <v>4.0</v>
      </c>
      <c r="L274" s="61">
        <v>2.0</v>
      </c>
      <c r="M274" s="63"/>
      <c r="N274" s="63">
        <v>0.4201388888888889</v>
      </c>
      <c r="O274" s="65" t="s">
        <v>1800</v>
      </c>
      <c r="P274" s="63"/>
      <c r="Q274" s="63"/>
      <c r="R274" s="63">
        <v>0.4701388888888889</v>
      </c>
      <c r="S274" s="62"/>
      <c r="T274" s="65" t="s">
        <v>187</v>
      </c>
      <c r="U274" s="62"/>
      <c r="V274" s="62" t="s">
        <v>376</v>
      </c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</row>
    <row r="275">
      <c r="A275" s="61">
        <v>2021.0</v>
      </c>
      <c r="B275" s="61" t="s">
        <v>925</v>
      </c>
      <c r="C275" s="61">
        <v>5.0</v>
      </c>
      <c r="D275" s="62" t="s">
        <v>19</v>
      </c>
      <c r="E275" s="62" t="s">
        <v>68</v>
      </c>
      <c r="F275" s="61">
        <v>616.0</v>
      </c>
      <c r="G275" s="62"/>
      <c r="H275" s="62" t="s">
        <v>1798</v>
      </c>
      <c r="I275" s="62" t="s">
        <v>1799</v>
      </c>
      <c r="J275" s="61">
        <v>44.0</v>
      </c>
      <c r="K275" s="61">
        <v>4.0</v>
      </c>
      <c r="L275" s="61">
        <v>3.0</v>
      </c>
      <c r="M275" s="63"/>
      <c r="N275" s="63">
        <v>0.4701388888888889</v>
      </c>
      <c r="O275" s="65" t="s">
        <v>187</v>
      </c>
      <c r="P275" s="63"/>
      <c r="Q275" s="63"/>
      <c r="R275" s="63">
        <v>0.5930555555555556</v>
      </c>
      <c r="S275" s="62"/>
      <c r="T275" s="65" t="s">
        <v>1801</v>
      </c>
      <c r="U275" s="62"/>
      <c r="V275" s="62" t="s">
        <v>422</v>
      </c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</row>
    <row r="276">
      <c r="A276" s="61">
        <v>2021.0</v>
      </c>
      <c r="B276" s="61" t="s">
        <v>925</v>
      </c>
      <c r="C276" s="61">
        <v>5.0</v>
      </c>
      <c r="D276" s="62" t="s">
        <v>19</v>
      </c>
      <c r="E276" s="62" t="s">
        <v>68</v>
      </c>
      <c r="F276" s="61">
        <v>616.0</v>
      </c>
      <c r="G276" s="62"/>
      <c r="H276" s="62" t="s">
        <v>1798</v>
      </c>
      <c r="I276" s="62" t="s">
        <v>1799</v>
      </c>
      <c r="J276" s="61">
        <v>44.0</v>
      </c>
      <c r="K276" s="61">
        <v>4.0</v>
      </c>
      <c r="L276" s="61">
        <v>4.0</v>
      </c>
      <c r="M276" s="63"/>
      <c r="N276" s="63">
        <v>0.5930555555555556</v>
      </c>
      <c r="O276" s="65" t="s">
        <v>1801</v>
      </c>
      <c r="P276" s="63"/>
      <c r="Q276" s="63"/>
      <c r="R276" s="63">
        <v>0.65</v>
      </c>
      <c r="S276" s="62"/>
      <c r="T276" s="65" t="s">
        <v>1802</v>
      </c>
      <c r="U276" s="62" t="s">
        <v>287</v>
      </c>
      <c r="V276" s="62" t="s">
        <v>1803</v>
      </c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</row>
    <row r="277">
      <c r="A277" s="61">
        <v>2021.0</v>
      </c>
      <c r="B277" s="61" t="s">
        <v>925</v>
      </c>
      <c r="C277" s="61">
        <v>5.0</v>
      </c>
      <c r="D277" s="62" t="s">
        <v>19</v>
      </c>
      <c r="E277" s="62" t="s">
        <v>68</v>
      </c>
      <c r="F277" s="61">
        <v>617.0</v>
      </c>
      <c r="G277" s="62"/>
      <c r="H277" s="62" t="s">
        <v>1804</v>
      </c>
      <c r="I277" s="62" t="s">
        <v>1805</v>
      </c>
      <c r="J277" s="61">
        <v>47.0</v>
      </c>
      <c r="K277" s="61">
        <v>5.0</v>
      </c>
      <c r="L277" s="61">
        <v>1.0</v>
      </c>
      <c r="M277" s="63"/>
      <c r="N277" s="63">
        <v>0.34791666666666665</v>
      </c>
      <c r="O277" s="65" t="s">
        <v>1806</v>
      </c>
      <c r="P277" s="63"/>
      <c r="Q277" s="63"/>
      <c r="R277" s="63">
        <v>0.4222222222222222</v>
      </c>
      <c r="S277" s="62"/>
      <c r="T277" s="65" t="s">
        <v>1807</v>
      </c>
      <c r="U277" s="62" t="s">
        <v>267</v>
      </c>
      <c r="V277" s="62" t="s">
        <v>376</v>
      </c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</row>
    <row r="278">
      <c r="A278" s="61">
        <v>2021.0</v>
      </c>
      <c r="B278" s="61" t="s">
        <v>925</v>
      </c>
      <c r="C278" s="61">
        <v>5.0</v>
      </c>
      <c r="D278" s="62" t="s">
        <v>19</v>
      </c>
      <c r="E278" s="62" t="s">
        <v>68</v>
      </c>
      <c r="F278" s="61">
        <v>617.0</v>
      </c>
      <c r="G278" s="62"/>
      <c r="H278" s="62" t="s">
        <v>1804</v>
      </c>
      <c r="I278" s="62" t="s">
        <v>1805</v>
      </c>
      <c r="J278" s="61">
        <v>47.0</v>
      </c>
      <c r="K278" s="61">
        <v>5.0</v>
      </c>
      <c r="L278" s="61">
        <v>2.0</v>
      </c>
      <c r="M278" s="63"/>
      <c r="N278" s="63">
        <v>0.4222222222222222</v>
      </c>
      <c r="O278" s="65" t="s">
        <v>1807</v>
      </c>
      <c r="P278" s="63"/>
      <c r="Q278" s="63"/>
      <c r="R278" s="63">
        <v>0.47152777777777777</v>
      </c>
      <c r="S278" s="62"/>
      <c r="T278" s="65" t="s">
        <v>1808</v>
      </c>
      <c r="U278" s="62"/>
      <c r="V278" s="62" t="s">
        <v>411</v>
      </c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</row>
    <row r="279">
      <c r="A279" s="61">
        <v>2021.0</v>
      </c>
      <c r="B279" s="61" t="s">
        <v>925</v>
      </c>
      <c r="C279" s="61">
        <v>5.0</v>
      </c>
      <c r="D279" s="62" t="s">
        <v>19</v>
      </c>
      <c r="E279" s="62" t="s">
        <v>68</v>
      </c>
      <c r="F279" s="61">
        <v>617.0</v>
      </c>
      <c r="G279" s="62"/>
      <c r="H279" s="62" t="s">
        <v>1804</v>
      </c>
      <c r="I279" s="62" t="s">
        <v>1805</v>
      </c>
      <c r="J279" s="61">
        <v>47.0</v>
      </c>
      <c r="K279" s="61">
        <v>5.0</v>
      </c>
      <c r="L279" s="61">
        <v>3.0</v>
      </c>
      <c r="M279" s="63"/>
      <c r="N279" s="63">
        <v>0.47152777777777777</v>
      </c>
      <c r="O279" s="65" t="s">
        <v>1808</v>
      </c>
      <c r="P279" s="63"/>
      <c r="Q279" s="63"/>
      <c r="R279" s="63">
        <v>0.5951388888888889</v>
      </c>
      <c r="S279" s="62"/>
      <c r="T279" s="65" t="s">
        <v>1809</v>
      </c>
      <c r="U279" s="62" t="s">
        <v>287</v>
      </c>
      <c r="V279" s="62" t="s">
        <v>1810</v>
      </c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</row>
    <row r="280">
      <c r="A280" s="61">
        <v>2021.0</v>
      </c>
      <c r="B280" s="61" t="s">
        <v>925</v>
      </c>
      <c r="C280" s="61">
        <v>5.0</v>
      </c>
      <c r="D280" s="62" t="s">
        <v>19</v>
      </c>
      <c r="E280" s="62" t="s">
        <v>68</v>
      </c>
      <c r="F280" s="61">
        <v>617.0</v>
      </c>
      <c r="G280" s="62"/>
      <c r="H280" s="62" t="s">
        <v>1804</v>
      </c>
      <c r="I280" s="62" t="s">
        <v>1805</v>
      </c>
      <c r="J280" s="61">
        <v>47.0</v>
      </c>
      <c r="K280" s="61">
        <v>5.0</v>
      </c>
      <c r="L280" s="61">
        <v>4.0</v>
      </c>
      <c r="M280" s="63"/>
      <c r="N280" s="63">
        <v>0.5951388888888889</v>
      </c>
      <c r="O280" s="65" t="s">
        <v>1809</v>
      </c>
      <c r="P280" s="63"/>
      <c r="Q280" s="63"/>
      <c r="R280" s="63">
        <v>0.6979166666666666</v>
      </c>
      <c r="S280" s="62"/>
      <c r="T280" s="65" t="s">
        <v>1811</v>
      </c>
      <c r="U280" s="62" t="s">
        <v>287</v>
      </c>
      <c r="V280" s="62" t="s">
        <v>1812</v>
      </c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</row>
    <row r="281">
      <c r="A281" s="61">
        <v>2021.0</v>
      </c>
      <c r="B281" s="61" t="s">
        <v>925</v>
      </c>
      <c r="C281" s="61">
        <v>5.0</v>
      </c>
      <c r="D281" s="62" t="s">
        <v>19</v>
      </c>
      <c r="E281" s="62" t="s">
        <v>68</v>
      </c>
      <c r="F281" s="61">
        <v>618.0</v>
      </c>
      <c r="G281" s="62"/>
      <c r="H281" s="62" t="s">
        <v>1813</v>
      </c>
      <c r="I281" s="62" t="s">
        <v>1814</v>
      </c>
      <c r="J281" s="61">
        <v>49.0</v>
      </c>
      <c r="K281" s="61">
        <v>6.0</v>
      </c>
      <c r="L281" s="61">
        <v>1.0</v>
      </c>
      <c r="M281" s="63"/>
      <c r="N281" s="63">
        <v>0.34930555555555554</v>
      </c>
      <c r="O281" s="65" t="s">
        <v>1710</v>
      </c>
      <c r="P281" s="63"/>
      <c r="Q281" s="63"/>
      <c r="R281" s="63">
        <v>0.4236111111111111</v>
      </c>
      <c r="S281" s="62"/>
      <c r="T281" s="65" t="s">
        <v>749</v>
      </c>
      <c r="U281" s="62" t="s">
        <v>309</v>
      </c>
      <c r="V281" s="62" t="s">
        <v>1815</v>
      </c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</row>
    <row r="282">
      <c r="A282" s="61">
        <v>2021.0</v>
      </c>
      <c r="B282" s="61" t="s">
        <v>925</v>
      </c>
      <c r="C282" s="61">
        <v>5.0</v>
      </c>
      <c r="D282" s="62" t="s">
        <v>19</v>
      </c>
      <c r="E282" s="62" t="s">
        <v>68</v>
      </c>
      <c r="F282" s="61">
        <v>618.0</v>
      </c>
      <c r="G282" s="62"/>
      <c r="H282" s="62" t="s">
        <v>1813</v>
      </c>
      <c r="I282" s="62" t="s">
        <v>1814</v>
      </c>
      <c r="J282" s="61">
        <v>49.0</v>
      </c>
      <c r="K282" s="61">
        <v>6.0</v>
      </c>
      <c r="L282" s="61">
        <v>2.0</v>
      </c>
      <c r="M282" s="63"/>
      <c r="N282" s="63">
        <v>0.4236111111111111</v>
      </c>
      <c r="O282" s="65" t="s">
        <v>749</v>
      </c>
      <c r="P282" s="63"/>
      <c r="Q282" s="63"/>
      <c r="R282" s="63">
        <v>0.47291666666666665</v>
      </c>
      <c r="S282" s="62"/>
      <c r="T282" s="65" t="s">
        <v>1816</v>
      </c>
      <c r="U282" s="62" t="s">
        <v>287</v>
      </c>
      <c r="V282" s="62" t="s">
        <v>376</v>
      </c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</row>
    <row r="283">
      <c r="A283" s="61">
        <v>2021.0</v>
      </c>
      <c r="B283" s="61" t="s">
        <v>925</v>
      </c>
      <c r="C283" s="61">
        <v>5.0</v>
      </c>
      <c r="D283" s="62" t="s">
        <v>19</v>
      </c>
      <c r="E283" s="62" t="s">
        <v>68</v>
      </c>
      <c r="F283" s="61">
        <v>618.0</v>
      </c>
      <c r="G283" s="62"/>
      <c r="H283" s="62" t="s">
        <v>1813</v>
      </c>
      <c r="I283" s="62" t="s">
        <v>1814</v>
      </c>
      <c r="J283" s="61">
        <v>49.0</v>
      </c>
      <c r="K283" s="61">
        <v>6.0</v>
      </c>
      <c r="L283" s="61">
        <v>3.0</v>
      </c>
      <c r="M283" s="63"/>
      <c r="N283" s="63">
        <v>0.47291666666666665</v>
      </c>
      <c r="O283" s="65" t="s">
        <v>1816</v>
      </c>
      <c r="P283" s="63"/>
      <c r="Q283" s="63"/>
      <c r="R283" s="63">
        <v>0.5986111111111111</v>
      </c>
      <c r="S283" s="62"/>
      <c r="T283" s="65" t="s">
        <v>1817</v>
      </c>
      <c r="U283" s="62"/>
      <c r="V283" s="62" t="s">
        <v>422</v>
      </c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</row>
    <row r="284">
      <c r="A284" s="61">
        <v>2021.0</v>
      </c>
      <c r="B284" s="61" t="s">
        <v>925</v>
      </c>
      <c r="C284" s="61">
        <v>5.0</v>
      </c>
      <c r="D284" s="62" t="s">
        <v>19</v>
      </c>
      <c r="E284" s="62" t="s">
        <v>68</v>
      </c>
      <c r="F284" s="61">
        <v>618.0</v>
      </c>
      <c r="G284" s="62"/>
      <c r="H284" s="62" t="s">
        <v>1813</v>
      </c>
      <c r="I284" s="62" t="s">
        <v>1814</v>
      </c>
      <c r="J284" s="61">
        <v>49.0</v>
      </c>
      <c r="K284" s="61">
        <v>6.0</v>
      </c>
      <c r="L284" s="61">
        <v>4.0</v>
      </c>
      <c r="M284" s="63"/>
      <c r="N284" s="63">
        <v>0.5986111111111111</v>
      </c>
      <c r="O284" s="65" t="s">
        <v>1817</v>
      </c>
      <c r="P284" s="63"/>
      <c r="Q284" s="63"/>
      <c r="R284" s="63">
        <v>0.6965277777777777</v>
      </c>
      <c r="S284" s="62"/>
      <c r="T284" s="65" t="s">
        <v>1589</v>
      </c>
      <c r="U284" s="62" t="s">
        <v>267</v>
      </c>
      <c r="V284" s="62" t="s">
        <v>422</v>
      </c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</row>
    <row r="285">
      <c r="A285" s="61">
        <v>2021.0</v>
      </c>
      <c r="B285" s="61" t="s">
        <v>925</v>
      </c>
      <c r="C285" s="61">
        <v>5.0</v>
      </c>
      <c r="D285" s="62" t="s">
        <v>19</v>
      </c>
      <c r="E285" s="62" t="s">
        <v>68</v>
      </c>
      <c r="F285" s="61">
        <v>619.0</v>
      </c>
      <c r="G285" s="62"/>
      <c r="H285" s="62" t="s">
        <v>1818</v>
      </c>
      <c r="I285" s="62" t="s">
        <v>1819</v>
      </c>
      <c r="J285" s="61">
        <v>47.0</v>
      </c>
      <c r="K285" s="61">
        <v>7.0</v>
      </c>
      <c r="L285" s="61">
        <v>1.0</v>
      </c>
      <c r="M285" s="63"/>
      <c r="N285" s="63">
        <v>0.3506944444444444</v>
      </c>
      <c r="O285" s="65" t="s">
        <v>1718</v>
      </c>
      <c r="P285" s="63"/>
      <c r="Q285" s="63"/>
      <c r="R285" s="63">
        <v>0.4284722222222222</v>
      </c>
      <c r="S285" s="62"/>
      <c r="T285" s="65" t="s">
        <v>1820</v>
      </c>
      <c r="U285" s="62" t="s">
        <v>309</v>
      </c>
      <c r="V285" s="62" t="s">
        <v>1821</v>
      </c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</row>
    <row r="286">
      <c r="A286" s="61">
        <v>2021.0</v>
      </c>
      <c r="B286" s="61" t="s">
        <v>925</v>
      </c>
      <c r="C286" s="61">
        <v>5.0</v>
      </c>
      <c r="D286" s="62" t="s">
        <v>19</v>
      </c>
      <c r="E286" s="62" t="s">
        <v>68</v>
      </c>
      <c r="F286" s="61">
        <v>619.0</v>
      </c>
      <c r="G286" s="62"/>
      <c r="H286" s="62" t="s">
        <v>1818</v>
      </c>
      <c r="I286" s="62" t="s">
        <v>1819</v>
      </c>
      <c r="J286" s="61">
        <v>47.0</v>
      </c>
      <c r="K286" s="61">
        <v>7.0</v>
      </c>
      <c r="L286" s="61">
        <v>2.0</v>
      </c>
      <c r="M286" s="63"/>
      <c r="N286" s="63">
        <v>0.4284722222222222</v>
      </c>
      <c r="O286" s="65" t="s">
        <v>1820</v>
      </c>
      <c r="P286" s="63"/>
      <c r="Q286" s="63"/>
      <c r="R286" s="63">
        <v>0.49722222222222223</v>
      </c>
      <c r="S286" s="62"/>
      <c r="T286" s="65" t="s">
        <v>1822</v>
      </c>
      <c r="U286" s="62" t="s">
        <v>287</v>
      </c>
      <c r="V286" s="62" t="s">
        <v>1823</v>
      </c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</row>
    <row r="287">
      <c r="A287" s="61">
        <v>2021.0</v>
      </c>
      <c r="B287" s="61" t="s">
        <v>925</v>
      </c>
      <c r="C287" s="61">
        <v>5.0</v>
      </c>
      <c r="D287" s="62" t="s">
        <v>19</v>
      </c>
      <c r="E287" s="62" t="s">
        <v>68</v>
      </c>
      <c r="F287" s="61">
        <v>619.0</v>
      </c>
      <c r="G287" s="62"/>
      <c r="H287" s="62" t="s">
        <v>1818</v>
      </c>
      <c r="I287" s="62" t="s">
        <v>1819</v>
      </c>
      <c r="J287" s="61">
        <v>47.0</v>
      </c>
      <c r="K287" s="61">
        <v>7.0</v>
      </c>
      <c r="L287" s="61">
        <v>3.0</v>
      </c>
      <c r="M287" s="63"/>
      <c r="N287" s="63">
        <v>0.49722222222222223</v>
      </c>
      <c r="O287" s="65" t="s">
        <v>1822</v>
      </c>
      <c r="P287" s="63"/>
      <c r="Q287" s="63"/>
      <c r="R287" s="63">
        <v>0.6006944444444444</v>
      </c>
      <c r="S287" s="62"/>
      <c r="T287" s="65" t="s">
        <v>1824</v>
      </c>
      <c r="U287" s="62" t="s">
        <v>267</v>
      </c>
      <c r="V287" s="62" t="s">
        <v>1825</v>
      </c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</row>
    <row r="288">
      <c r="A288" s="61">
        <v>2021.0</v>
      </c>
      <c r="B288" s="61" t="s">
        <v>925</v>
      </c>
      <c r="C288" s="61">
        <v>5.0</v>
      </c>
      <c r="D288" s="62" t="s">
        <v>19</v>
      </c>
      <c r="E288" s="62" t="s">
        <v>68</v>
      </c>
      <c r="F288" s="61">
        <v>619.0</v>
      </c>
      <c r="G288" s="62"/>
      <c r="H288" s="62" t="s">
        <v>1818</v>
      </c>
      <c r="I288" s="62" t="s">
        <v>1819</v>
      </c>
      <c r="J288" s="61">
        <v>47.0</v>
      </c>
      <c r="K288" s="61">
        <v>7.0</v>
      </c>
      <c r="L288" s="61">
        <v>4.0</v>
      </c>
      <c r="M288" s="63"/>
      <c r="N288" s="63">
        <v>0.6006944444444444</v>
      </c>
      <c r="O288" s="65" t="s">
        <v>1824</v>
      </c>
      <c r="P288" s="63"/>
      <c r="Q288" s="63"/>
      <c r="R288" s="63">
        <v>0.7020833333333333</v>
      </c>
      <c r="S288" s="62"/>
      <c r="T288" s="65" t="s">
        <v>1826</v>
      </c>
      <c r="U288" s="62" t="s">
        <v>309</v>
      </c>
      <c r="V288" s="62" t="s">
        <v>1827</v>
      </c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</row>
    <row r="289">
      <c r="A289" s="61">
        <v>2021.0</v>
      </c>
      <c r="B289" s="61" t="s">
        <v>925</v>
      </c>
      <c r="C289" s="61">
        <v>5.0</v>
      </c>
      <c r="D289" s="62" t="s">
        <v>19</v>
      </c>
      <c r="E289" s="62" t="s">
        <v>68</v>
      </c>
      <c r="F289" s="61">
        <v>620.0</v>
      </c>
      <c r="G289" s="62"/>
      <c r="H289" s="62" t="s">
        <v>1828</v>
      </c>
      <c r="I289" s="62" t="s">
        <v>1829</v>
      </c>
      <c r="J289" s="61">
        <v>45.0</v>
      </c>
      <c r="K289" s="61">
        <v>8.0</v>
      </c>
      <c r="L289" s="61">
        <v>1.0</v>
      </c>
      <c r="M289" s="63"/>
      <c r="N289" s="63">
        <v>0.35208333333333336</v>
      </c>
      <c r="O289" s="65" t="s">
        <v>1723</v>
      </c>
      <c r="P289" s="63"/>
      <c r="Q289" s="63"/>
      <c r="R289" s="63">
        <v>0.43125</v>
      </c>
      <c r="S289" s="62"/>
      <c r="T289" s="65" t="s">
        <v>1704</v>
      </c>
      <c r="U289" s="62" t="s">
        <v>309</v>
      </c>
      <c r="V289" s="62" t="s">
        <v>422</v>
      </c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</row>
    <row r="290">
      <c r="A290" s="61">
        <v>2021.0</v>
      </c>
      <c r="B290" s="61" t="s">
        <v>925</v>
      </c>
      <c r="C290" s="61">
        <v>5.0</v>
      </c>
      <c r="D290" s="62" t="s">
        <v>19</v>
      </c>
      <c r="E290" s="62" t="s">
        <v>68</v>
      </c>
      <c r="F290" s="61">
        <v>620.0</v>
      </c>
      <c r="G290" s="62"/>
      <c r="H290" s="62" t="s">
        <v>1828</v>
      </c>
      <c r="I290" s="62" t="s">
        <v>1829</v>
      </c>
      <c r="J290" s="61">
        <v>45.0</v>
      </c>
      <c r="K290" s="61">
        <v>8.0</v>
      </c>
      <c r="L290" s="61">
        <v>2.0</v>
      </c>
      <c r="M290" s="63"/>
      <c r="N290" s="63">
        <v>0.43125</v>
      </c>
      <c r="O290" s="65" t="s">
        <v>1704</v>
      </c>
      <c r="P290" s="63"/>
      <c r="Q290" s="63"/>
      <c r="R290" s="63">
        <v>0.4986111111111111</v>
      </c>
      <c r="S290" s="62"/>
      <c r="T290" s="65" t="s">
        <v>1071</v>
      </c>
      <c r="U290" s="62" t="s">
        <v>309</v>
      </c>
      <c r="V290" s="62" t="s">
        <v>1777</v>
      </c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</row>
    <row r="291">
      <c r="A291" s="61">
        <v>2021.0</v>
      </c>
      <c r="B291" s="61" t="s">
        <v>925</v>
      </c>
      <c r="C291" s="61">
        <v>5.0</v>
      </c>
      <c r="D291" s="62" t="s">
        <v>19</v>
      </c>
      <c r="E291" s="62" t="s">
        <v>68</v>
      </c>
      <c r="F291" s="61">
        <v>620.0</v>
      </c>
      <c r="G291" s="62"/>
      <c r="H291" s="62" t="s">
        <v>1828</v>
      </c>
      <c r="I291" s="62" t="s">
        <v>1829</v>
      </c>
      <c r="J291" s="61">
        <v>45.0</v>
      </c>
      <c r="K291" s="61">
        <v>8.0</v>
      </c>
      <c r="L291" s="61">
        <v>3.0</v>
      </c>
      <c r="M291" s="63"/>
      <c r="N291" s="63">
        <v>0.4986111111111111</v>
      </c>
      <c r="O291" s="65" t="s">
        <v>1071</v>
      </c>
      <c r="P291" s="63"/>
      <c r="Q291" s="63"/>
      <c r="R291" s="63">
        <v>0.6027777777777777</v>
      </c>
      <c r="S291" s="62"/>
      <c r="T291" s="65" t="s">
        <v>1830</v>
      </c>
      <c r="U291" s="62" t="s">
        <v>267</v>
      </c>
      <c r="V291" s="62" t="s">
        <v>1831</v>
      </c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</row>
    <row r="292">
      <c r="A292" s="61">
        <v>2021.0</v>
      </c>
      <c r="B292" s="61" t="s">
        <v>925</v>
      </c>
      <c r="C292" s="61">
        <v>5.0</v>
      </c>
      <c r="D292" s="62" t="s">
        <v>19</v>
      </c>
      <c r="E292" s="62" t="s">
        <v>68</v>
      </c>
      <c r="F292" s="61">
        <v>620.0</v>
      </c>
      <c r="G292" s="62"/>
      <c r="H292" s="62" t="s">
        <v>1828</v>
      </c>
      <c r="I292" s="62" t="s">
        <v>1829</v>
      </c>
      <c r="J292" s="61">
        <v>45.0</v>
      </c>
      <c r="K292" s="61">
        <v>8.0</v>
      </c>
      <c r="L292" s="61">
        <v>4.0</v>
      </c>
      <c r="M292" s="63"/>
      <c r="N292" s="63">
        <v>0.6027777777777777</v>
      </c>
      <c r="O292" s="65" t="s">
        <v>1830</v>
      </c>
      <c r="P292" s="63"/>
      <c r="Q292" s="63"/>
      <c r="R292" s="63">
        <v>0.7041666666666667</v>
      </c>
      <c r="S292" s="62"/>
      <c r="T292" s="65" t="s">
        <v>1627</v>
      </c>
      <c r="U292" s="62" t="s">
        <v>267</v>
      </c>
      <c r="V292" s="62" t="s">
        <v>1674</v>
      </c>
      <c r="W292" s="62" t="s">
        <v>523</v>
      </c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</row>
    <row r="293">
      <c r="A293" s="73">
        <v>2022.0</v>
      </c>
      <c r="B293" s="73" t="s">
        <v>400</v>
      </c>
      <c r="C293" s="73">
        <v>25.0</v>
      </c>
      <c r="D293" s="74" t="s">
        <v>243</v>
      </c>
      <c r="E293" s="74" t="s">
        <v>175</v>
      </c>
      <c r="F293" s="74" t="s">
        <v>175</v>
      </c>
      <c r="G293" s="74" t="s">
        <v>154</v>
      </c>
      <c r="H293" s="74" t="s">
        <v>1832</v>
      </c>
      <c r="I293" s="74" t="s">
        <v>1833</v>
      </c>
      <c r="J293" s="73">
        <v>18.4</v>
      </c>
      <c r="K293" s="73">
        <v>1.0</v>
      </c>
      <c r="L293" s="73">
        <v>1.0</v>
      </c>
      <c r="M293" s="73"/>
      <c r="N293" s="75">
        <v>0.4888888888888889</v>
      </c>
      <c r="O293" s="76" t="s">
        <v>1834</v>
      </c>
      <c r="P293" s="75">
        <v>0.5305555555555556</v>
      </c>
      <c r="T293" s="76" t="s">
        <v>1835</v>
      </c>
      <c r="U293" s="74" t="s">
        <v>287</v>
      </c>
      <c r="V293" s="74" t="s">
        <v>422</v>
      </c>
      <c r="W293" s="74"/>
      <c r="Y293" s="74"/>
      <c r="Z293" s="74"/>
      <c r="AA293" s="74"/>
      <c r="AB293" s="74"/>
      <c r="AC293" s="74"/>
      <c r="AD293" s="74"/>
      <c r="AE293" s="74"/>
      <c r="AF293" s="74"/>
      <c r="AG293" s="74"/>
    </row>
    <row r="294">
      <c r="A294" s="73">
        <v>2022.0</v>
      </c>
      <c r="B294" s="73" t="s">
        <v>400</v>
      </c>
      <c r="C294" s="73">
        <v>25.0</v>
      </c>
      <c r="D294" s="74" t="s">
        <v>243</v>
      </c>
      <c r="E294" s="74" t="s">
        <v>175</v>
      </c>
      <c r="F294" s="74" t="s">
        <v>175</v>
      </c>
      <c r="G294" s="74" t="s">
        <v>154</v>
      </c>
      <c r="H294" s="74" t="s">
        <v>1832</v>
      </c>
      <c r="I294" s="74" t="s">
        <v>1833</v>
      </c>
      <c r="J294" s="73">
        <v>18.4</v>
      </c>
      <c r="K294" s="73">
        <v>1.0</v>
      </c>
      <c r="L294" s="73">
        <v>2.0</v>
      </c>
      <c r="M294" s="73"/>
      <c r="N294" s="75">
        <v>0.5305555555555556</v>
      </c>
      <c r="O294" s="76" t="s">
        <v>1835</v>
      </c>
      <c r="P294" s="75">
        <v>0.5729166666666666</v>
      </c>
      <c r="T294" s="76" t="s">
        <v>646</v>
      </c>
      <c r="U294" s="74" t="s">
        <v>267</v>
      </c>
      <c r="V294" s="74" t="s">
        <v>376</v>
      </c>
      <c r="W294" s="74"/>
      <c r="Y294" s="74"/>
      <c r="Z294" s="74"/>
      <c r="AA294" s="74"/>
      <c r="AB294" s="74"/>
      <c r="AC294" s="74"/>
      <c r="AD294" s="74"/>
      <c r="AE294" s="74"/>
      <c r="AF294" s="74"/>
      <c r="AG294" s="74"/>
    </row>
    <row r="295">
      <c r="A295" s="73">
        <v>2022.0</v>
      </c>
      <c r="B295" s="73" t="s">
        <v>400</v>
      </c>
      <c r="C295" s="73">
        <v>25.0</v>
      </c>
      <c r="D295" s="74" t="s">
        <v>243</v>
      </c>
      <c r="E295" s="74" t="s">
        <v>175</v>
      </c>
      <c r="F295" s="74" t="s">
        <v>175</v>
      </c>
      <c r="G295" s="74" t="s">
        <v>154</v>
      </c>
      <c r="H295" s="74" t="s">
        <v>1832</v>
      </c>
      <c r="I295" s="74" t="s">
        <v>1833</v>
      </c>
      <c r="J295" s="73">
        <v>18.4</v>
      </c>
      <c r="K295" s="73">
        <v>1.0</v>
      </c>
      <c r="L295" s="73">
        <v>3.0</v>
      </c>
      <c r="M295" s="73"/>
      <c r="N295" s="75">
        <v>0.5729166666666666</v>
      </c>
      <c r="O295" s="76" t="s">
        <v>646</v>
      </c>
      <c r="P295" s="75">
        <v>0.6145833333333334</v>
      </c>
      <c r="T295" s="76" t="s">
        <v>1714</v>
      </c>
      <c r="U295" s="74"/>
      <c r="V295" s="74" t="s">
        <v>1836</v>
      </c>
      <c r="W295" s="74"/>
      <c r="Y295" s="74"/>
      <c r="Z295" s="74"/>
      <c r="AA295" s="74"/>
      <c r="AB295" s="74"/>
      <c r="AC295" s="74"/>
      <c r="AD295" s="74"/>
      <c r="AE295" s="74"/>
      <c r="AF295" s="74"/>
      <c r="AG295" s="74"/>
    </row>
    <row r="296">
      <c r="A296" s="73">
        <v>2022.0</v>
      </c>
      <c r="B296" s="73" t="s">
        <v>400</v>
      </c>
      <c r="C296" s="73">
        <v>25.0</v>
      </c>
      <c r="D296" s="74" t="s">
        <v>243</v>
      </c>
      <c r="E296" s="77" t="s">
        <v>175</v>
      </c>
      <c r="F296" s="74" t="s">
        <v>175</v>
      </c>
      <c r="G296" s="74" t="s">
        <v>154</v>
      </c>
      <c r="H296" s="74" t="s">
        <v>1837</v>
      </c>
      <c r="I296" s="74" t="s">
        <v>1838</v>
      </c>
      <c r="J296" s="73">
        <v>18.8</v>
      </c>
      <c r="K296" s="73">
        <v>2.0</v>
      </c>
      <c r="L296" s="73">
        <v>1.0</v>
      </c>
      <c r="M296" s="73"/>
      <c r="N296" s="75">
        <v>0.4916666666666667</v>
      </c>
      <c r="O296" s="76" t="s">
        <v>1839</v>
      </c>
      <c r="P296" s="75">
        <v>0.5319444444444444</v>
      </c>
      <c r="T296" s="76" t="s">
        <v>1745</v>
      </c>
      <c r="U296" s="74" t="s">
        <v>267</v>
      </c>
      <c r="V296" s="74" t="s">
        <v>376</v>
      </c>
      <c r="W296" s="74"/>
      <c r="Y296" s="74"/>
      <c r="Z296" s="74"/>
      <c r="AA296" s="74"/>
      <c r="AB296" s="74"/>
      <c r="AC296" s="74"/>
      <c r="AD296" s="74"/>
      <c r="AE296" s="74"/>
      <c r="AF296" s="74"/>
      <c r="AG296" s="74"/>
    </row>
    <row r="297">
      <c r="A297" s="73">
        <v>2022.0</v>
      </c>
      <c r="B297" s="73" t="s">
        <v>400</v>
      </c>
      <c r="C297" s="73">
        <v>25.0</v>
      </c>
      <c r="D297" s="74" t="s">
        <v>243</v>
      </c>
      <c r="E297" s="74" t="s">
        <v>175</v>
      </c>
      <c r="F297" s="74" t="s">
        <v>175</v>
      </c>
      <c r="G297" s="74" t="s">
        <v>154</v>
      </c>
      <c r="H297" s="74" t="s">
        <v>1837</v>
      </c>
      <c r="I297" s="74" t="s">
        <v>1840</v>
      </c>
      <c r="J297" s="73">
        <v>18.8</v>
      </c>
      <c r="K297" s="73">
        <v>2.0</v>
      </c>
      <c r="L297" s="73">
        <v>2.0</v>
      </c>
      <c r="M297" s="73"/>
      <c r="N297" s="75">
        <v>0.5319444444444444</v>
      </c>
      <c r="O297" s="76" t="s">
        <v>1745</v>
      </c>
      <c r="P297" s="75">
        <v>0.5736111111111112</v>
      </c>
      <c r="T297" s="76" t="s">
        <v>1841</v>
      </c>
      <c r="U297" s="74"/>
      <c r="V297" s="74" t="s">
        <v>411</v>
      </c>
      <c r="W297" s="74"/>
      <c r="Y297" s="74"/>
      <c r="Z297" s="74"/>
      <c r="AA297" s="74"/>
      <c r="AB297" s="74"/>
      <c r="AC297" s="74"/>
      <c r="AD297" s="74"/>
      <c r="AE297" s="74"/>
      <c r="AF297" s="74"/>
      <c r="AG297" s="74"/>
    </row>
    <row r="298">
      <c r="A298" s="73">
        <v>2022.0</v>
      </c>
      <c r="B298" s="73" t="s">
        <v>400</v>
      </c>
      <c r="C298" s="73">
        <v>25.0</v>
      </c>
      <c r="D298" s="74" t="s">
        <v>243</v>
      </c>
      <c r="E298" s="77" t="s">
        <v>175</v>
      </c>
      <c r="F298" s="74" t="s">
        <v>175</v>
      </c>
      <c r="G298" s="74" t="s">
        <v>154</v>
      </c>
      <c r="H298" s="74" t="s">
        <v>1837</v>
      </c>
      <c r="I298" s="74" t="s">
        <v>1840</v>
      </c>
      <c r="J298" s="73">
        <v>18.8</v>
      </c>
      <c r="K298" s="73">
        <v>2.0</v>
      </c>
      <c r="L298" s="73">
        <v>3.0</v>
      </c>
      <c r="M298" s="73"/>
      <c r="N298" s="75">
        <v>0.5736111111111112</v>
      </c>
      <c r="O298" s="76" t="s">
        <v>1841</v>
      </c>
      <c r="P298" s="75">
        <v>0.6305555555555555</v>
      </c>
      <c r="T298" s="76" t="s">
        <v>380</v>
      </c>
      <c r="U298" s="74" t="s">
        <v>287</v>
      </c>
      <c r="V298" s="74" t="s">
        <v>411</v>
      </c>
      <c r="W298" s="74"/>
      <c r="Y298" s="74"/>
      <c r="Z298" s="74"/>
      <c r="AA298" s="74"/>
      <c r="AB298" s="74"/>
      <c r="AC298" s="74"/>
      <c r="AD298" s="74"/>
      <c r="AE298" s="74"/>
      <c r="AF298" s="74"/>
      <c r="AG298" s="74"/>
    </row>
    <row r="299">
      <c r="A299" s="73">
        <v>2022.0</v>
      </c>
      <c r="B299" s="73" t="s">
        <v>400</v>
      </c>
      <c r="C299" s="73">
        <v>25.0</v>
      </c>
      <c r="D299" s="74" t="s">
        <v>243</v>
      </c>
      <c r="E299" s="74" t="s">
        <v>175</v>
      </c>
      <c r="F299" s="74" t="s">
        <v>175</v>
      </c>
      <c r="G299" s="74" t="s">
        <v>1842</v>
      </c>
      <c r="H299" s="74" t="s">
        <v>1843</v>
      </c>
      <c r="I299" s="74" t="s">
        <v>1840</v>
      </c>
      <c r="J299" s="73">
        <v>19.4</v>
      </c>
      <c r="K299" s="73">
        <v>3.0</v>
      </c>
      <c r="L299" s="73">
        <v>1.0</v>
      </c>
      <c r="M299" s="73"/>
      <c r="N299" s="75">
        <v>0.49583333333333335</v>
      </c>
      <c r="O299" s="76" t="s">
        <v>1057</v>
      </c>
      <c r="P299" s="75">
        <v>0.5375</v>
      </c>
      <c r="T299" s="76" t="s">
        <v>1758</v>
      </c>
      <c r="U299" s="74" t="s">
        <v>287</v>
      </c>
      <c r="V299" s="74" t="s">
        <v>376</v>
      </c>
      <c r="W299" s="74"/>
      <c r="Y299" s="74"/>
      <c r="Z299" s="74"/>
      <c r="AA299" s="74"/>
      <c r="AB299" s="74"/>
      <c r="AC299" s="74"/>
      <c r="AD299" s="74"/>
      <c r="AE299" s="74"/>
      <c r="AF299" s="74"/>
      <c r="AG299" s="74"/>
    </row>
    <row r="300">
      <c r="A300" s="73">
        <v>2022.0</v>
      </c>
      <c r="B300" s="73" t="s">
        <v>400</v>
      </c>
      <c r="C300" s="73">
        <v>25.0</v>
      </c>
      <c r="D300" s="74" t="s">
        <v>243</v>
      </c>
      <c r="E300" s="74" t="s">
        <v>175</v>
      </c>
      <c r="F300" s="74" t="s">
        <v>175</v>
      </c>
      <c r="G300" s="74" t="s">
        <v>1842</v>
      </c>
      <c r="H300" s="74" t="s">
        <v>1843</v>
      </c>
      <c r="I300" s="74" t="s">
        <v>1838</v>
      </c>
      <c r="J300" s="73">
        <v>19.4</v>
      </c>
      <c r="K300" s="73">
        <v>3.0</v>
      </c>
      <c r="L300" s="73">
        <v>2.0</v>
      </c>
      <c r="M300" s="73"/>
      <c r="N300" s="75">
        <v>0.5375</v>
      </c>
      <c r="O300" s="76" t="s">
        <v>1758</v>
      </c>
      <c r="P300" s="75">
        <v>0.5333333333333333</v>
      </c>
      <c r="T300" s="76" t="s">
        <v>1749</v>
      </c>
      <c r="U300" s="74"/>
      <c r="V300" s="74" t="s">
        <v>1844</v>
      </c>
      <c r="W300" s="74"/>
      <c r="Y300" s="74"/>
      <c r="Z300" s="74"/>
      <c r="AA300" s="74"/>
      <c r="AB300" s="74"/>
      <c r="AC300" s="74"/>
      <c r="AD300" s="74"/>
      <c r="AE300" s="74"/>
      <c r="AF300" s="74"/>
      <c r="AG300" s="74"/>
    </row>
    <row r="301">
      <c r="A301" s="73">
        <v>2022.0</v>
      </c>
      <c r="B301" s="73" t="s">
        <v>400</v>
      </c>
      <c r="C301" s="73">
        <v>25.0</v>
      </c>
      <c r="D301" s="74" t="s">
        <v>243</v>
      </c>
      <c r="E301" s="74" t="s">
        <v>175</v>
      </c>
      <c r="F301" s="74" t="s">
        <v>175</v>
      </c>
      <c r="G301" s="74" t="s">
        <v>1842</v>
      </c>
      <c r="H301" s="74" t="s">
        <v>1843</v>
      </c>
      <c r="I301" s="74" t="s">
        <v>1838</v>
      </c>
      <c r="J301" s="73">
        <v>19.4</v>
      </c>
      <c r="K301" s="73">
        <v>3.0</v>
      </c>
      <c r="L301" s="73">
        <v>3.0</v>
      </c>
      <c r="M301" s="73"/>
      <c r="N301" s="75">
        <v>0.5333333333333333</v>
      </c>
      <c r="O301" s="76" t="s">
        <v>1749</v>
      </c>
      <c r="P301" s="75">
        <v>0.6319444444444444</v>
      </c>
      <c r="T301" s="76" t="s">
        <v>396</v>
      </c>
      <c r="U301" s="74" t="s">
        <v>422</v>
      </c>
      <c r="V301" s="74" t="s">
        <v>422</v>
      </c>
      <c r="W301" s="74"/>
      <c r="Y301" s="74"/>
      <c r="Z301" s="74"/>
      <c r="AA301" s="74"/>
      <c r="AB301" s="74"/>
      <c r="AC301" s="74"/>
      <c r="AD301" s="74"/>
      <c r="AE301" s="74"/>
      <c r="AF301" s="74"/>
      <c r="AG301" s="74"/>
    </row>
    <row r="302">
      <c r="A302" s="73">
        <v>2022.0</v>
      </c>
      <c r="B302" s="73" t="s">
        <v>400</v>
      </c>
      <c r="C302" s="73">
        <v>25.0</v>
      </c>
      <c r="D302" s="74" t="s">
        <v>243</v>
      </c>
      <c r="E302" s="74" t="s">
        <v>175</v>
      </c>
      <c r="F302" s="74" t="s">
        <v>175</v>
      </c>
      <c r="G302" s="74" t="s">
        <v>154</v>
      </c>
      <c r="H302" s="74" t="s">
        <v>1845</v>
      </c>
      <c r="I302" s="74" t="s">
        <v>1846</v>
      </c>
      <c r="J302" s="73">
        <v>19.7</v>
      </c>
      <c r="K302" s="73">
        <v>4.0</v>
      </c>
      <c r="L302" s="73">
        <v>1.0</v>
      </c>
      <c r="M302" s="73"/>
      <c r="N302" s="75">
        <v>0.4993055555555555</v>
      </c>
      <c r="O302" s="76" t="s">
        <v>1847</v>
      </c>
      <c r="P302" s="75">
        <v>0.5354166666666667</v>
      </c>
      <c r="T302" s="76" t="s">
        <v>1753</v>
      </c>
      <c r="U302" s="74" t="s">
        <v>1848</v>
      </c>
      <c r="V302" s="74" t="s">
        <v>422</v>
      </c>
      <c r="W302" s="74"/>
      <c r="Y302" s="74"/>
      <c r="Z302" s="74"/>
      <c r="AA302" s="74"/>
      <c r="AB302" s="74"/>
      <c r="AC302" s="74"/>
      <c r="AD302" s="74"/>
      <c r="AE302" s="74"/>
      <c r="AF302" s="74"/>
      <c r="AG302" s="74"/>
    </row>
    <row r="303">
      <c r="A303" s="73">
        <v>2022.0</v>
      </c>
      <c r="B303" s="73" t="s">
        <v>400</v>
      </c>
      <c r="C303" s="73">
        <v>25.0</v>
      </c>
      <c r="D303" s="74" t="s">
        <v>243</v>
      </c>
      <c r="E303" s="74" t="s">
        <v>175</v>
      </c>
      <c r="F303" s="74" t="s">
        <v>175</v>
      </c>
      <c r="G303" s="74" t="s">
        <v>154</v>
      </c>
      <c r="H303" s="74" t="s">
        <v>1845</v>
      </c>
      <c r="I303" s="74" t="s">
        <v>1846</v>
      </c>
      <c r="J303" s="73">
        <v>19.7</v>
      </c>
      <c r="K303" s="73">
        <v>4.0</v>
      </c>
      <c r="L303" s="73">
        <v>2.0</v>
      </c>
      <c r="M303" s="73"/>
      <c r="N303" s="75">
        <v>0.5354166666666667</v>
      </c>
      <c r="O303" s="76" t="s">
        <v>1753</v>
      </c>
      <c r="P303" s="75">
        <v>0.5791666666666667</v>
      </c>
      <c r="T303" s="76" t="s">
        <v>1849</v>
      </c>
      <c r="U303" s="74" t="s">
        <v>267</v>
      </c>
      <c r="V303" s="74" t="s">
        <v>376</v>
      </c>
      <c r="W303" s="74"/>
      <c r="Y303" s="74"/>
      <c r="Z303" s="74"/>
      <c r="AA303" s="74"/>
      <c r="AB303" s="74"/>
      <c r="AC303" s="74"/>
      <c r="AD303" s="74"/>
      <c r="AE303" s="74"/>
      <c r="AF303" s="74"/>
      <c r="AG303" s="74"/>
    </row>
    <row r="304">
      <c r="A304" s="73">
        <v>2022.0</v>
      </c>
      <c r="B304" s="73" t="s">
        <v>400</v>
      </c>
      <c r="C304" s="73">
        <v>25.0</v>
      </c>
      <c r="D304" s="74" t="s">
        <v>243</v>
      </c>
      <c r="E304" s="74" t="s">
        <v>175</v>
      </c>
      <c r="F304" s="74" t="s">
        <v>175</v>
      </c>
      <c r="G304" s="74" t="s">
        <v>154</v>
      </c>
      <c r="H304" s="74" t="s">
        <v>1845</v>
      </c>
      <c r="I304" s="74" t="s">
        <v>1846</v>
      </c>
      <c r="J304" s="73">
        <v>19.7</v>
      </c>
      <c r="K304" s="73">
        <v>4.0</v>
      </c>
      <c r="L304" s="73">
        <v>3.0</v>
      </c>
      <c r="M304" s="73"/>
      <c r="N304" s="75">
        <v>0.5791666666666667</v>
      </c>
      <c r="O304" s="76" t="s">
        <v>1849</v>
      </c>
      <c r="P304" s="75">
        <v>0.6347222222222222</v>
      </c>
      <c r="T304" s="76" t="s">
        <v>1330</v>
      </c>
      <c r="U304" s="74"/>
      <c r="V304" s="74" t="s">
        <v>422</v>
      </c>
      <c r="W304" s="74"/>
      <c r="Y304" s="74"/>
      <c r="Z304" s="74"/>
      <c r="AA304" s="74"/>
      <c r="AB304" s="74"/>
      <c r="AC304" s="74"/>
      <c r="AD304" s="74"/>
      <c r="AE304" s="74"/>
      <c r="AF304" s="74"/>
      <c r="AG304" s="74"/>
    </row>
    <row r="305">
      <c r="A305" s="73">
        <v>2022.0</v>
      </c>
      <c r="B305" s="73" t="s">
        <v>400</v>
      </c>
      <c r="C305" s="73">
        <v>25.0</v>
      </c>
      <c r="D305" s="74" t="s">
        <v>243</v>
      </c>
      <c r="E305" s="74" t="s">
        <v>175</v>
      </c>
      <c r="F305" s="74" t="s">
        <v>175</v>
      </c>
      <c r="G305" s="74" t="s">
        <v>154</v>
      </c>
      <c r="H305" s="74" t="s">
        <v>1850</v>
      </c>
      <c r="I305" s="74" t="s">
        <v>1851</v>
      </c>
      <c r="J305" s="73">
        <v>19.3</v>
      </c>
      <c r="K305" s="73">
        <v>5.0</v>
      </c>
      <c r="L305" s="73">
        <v>1.0</v>
      </c>
      <c r="M305" s="73"/>
      <c r="N305" s="75">
        <v>0.5020833333333333</v>
      </c>
      <c r="O305" s="76" t="s">
        <v>1852</v>
      </c>
      <c r="P305" s="75">
        <v>0.5368055555555555</v>
      </c>
      <c r="T305" s="76" t="s">
        <v>1853</v>
      </c>
      <c r="U305" s="74" t="s">
        <v>287</v>
      </c>
      <c r="V305" s="74" t="s">
        <v>376</v>
      </c>
      <c r="W305" s="74"/>
      <c r="Y305" s="74"/>
      <c r="Z305" s="74"/>
      <c r="AA305" s="74"/>
      <c r="AB305" s="74"/>
      <c r="AC305" s="74"/>
      <c r="AD305" s="74"/>
      <c r="AE305" s="74"/>
      <c r="AF305" s="74"/>
      <c r="AG305" s="74"/>
    </row>
    <row r="306">
      <c r="A306" s="73">
        <v>2022.0</v>
      </c>
      <c r="B306" s="73" t="s">
        <v>400</v>
      </c>
      <c r="C306" s="73">
        <v>25.0</v>
      </c>
      <c r="D306" s="74" t="s">
        <v>243</v>
      </c>
      <c r="E306" s="74" t="s">
        <v>175</v>
      </c>
      <c r="F306" s="74" t="s">
        <v>175</v>
      </c>
      <c r="G306" s="74" t="s">
        <v>154</v>
      </c>
      <c r="H306" s="74" t="s">
        <v>1850</v>
      </c>
      <c r="I306" s="74" t="s">
        <v>1851</v>
      </c>
      <c r="J306" s="73">
        <v>19.3</v>
      </c>
      <c r="K306" s="73">
        <v>5.0</v>
      </c>
      <c r="L306" s="73">
        <v>2.0</v>
      </c>
      <c r="M306" s="73"/>
      <c r="N306" s="75">
        <v>0.5368055555555555</v>
      </c>
      <c r="O306" s="76" t="s">
        <v>1853</v>
      </c>
      <c r="P306" s="75">
        <v>0.5812499999999999</v>
      </c>
      <c r="T306" s="76" t="s">
        <v>664</v>
      </c>
      <c r="U306" s="74"/>
      <c r="V306" s="74" t="s">
        <v>376</v>
      </c>
      <c r="W306" s="74"/>
      <c r="Y306" s="74"/>
      <c r="Z306" s="74"/>
      <c r="AA306" s="74"/>
      <c r="AB306" s="74"/>
      <c r="AC306" s="74"/>
      <c r="AD306" s="74"/>
      <c r="AE306" s="74"/>
      <c r="AF306" s="74"/>
      <c r="AG306" s="74"/>
    </row>
    <row r="307">
      <c r="A307" s="73">
        <v>2022.0</v>
      </c>
      <c r="B307" s="73" t="s">
        <v>400</v>
      </c>
      <c r="C307" s="73">
        <v>25.0</v>
      </c>
      <c r="D307" s="74" t="s">
        <v>243</v>
      </c>
      <c r="E307" s="74" t="s">
        <v>175</v>
      </c>
      <c r="F307" s="74" t="s">
        <v>175</v>
      </c>
      <c r="G307" s="74" t="s">
        <v>154</v>
      </c>
      <c r="H307" s="74" t="s">
        <v>1850</v>
      </c>
      <c r="I307" s="74" t="s">
        <v>1851</v>
      </c>
      <c r="J307" s="73">
        <v>19.3</v>
      </c>
      <c r="K307" s="73">
        <v>5.0</v>
      </c>
      <c r="L307" s="73">
        <v>3.0</v>
      </c>
      <c r="M307" s="73"/>
      <c r="N307" s="75">
        <v>0.5812499999999999</v>
      </c>
      <c r="O307" s="76" t="s">
        <v>664</v>
      </c>
      <c r="P307" s="75">
        <v>0.6368055555555555</v>
      </c>
      <c r="T307" s="76" t="s">
        <v>1854</v>
      </c>
      <c r="U307" s="74"/>
      <c r="V307" s="74" t="s">
        <v>376</v>
      </c>
      <c r="W307" s="74"/>
      <c r="Y307" s="74"/>
      <c r="Z307" s="74"/>
      <c r="AA307" s="74"/>
      <c r="AB307" s="74"/>
      <c r="AC307" s="74"/>
      <c r="AD307" s="74"/>
      <c r="AE307" s="74"/>
      <c r="AF307" s="74"/>
      <c r="AG307" s="74"/>
    </row>
    <row r="308">
      <c r="A308" s="73">
        <v>2022.0</v>
      </c>
      <c r="B308" s="73" t="s">
        <v>400</v>
      </c>
      <c r="C308" s="73">
        <v>25.0</v>
      </c>
      <c r="D308" s="74" t="s">
        <v>243</v>
      </c>
      <c r="E308" s="74" t="s">
        <v>175</v>
      </c>
      <c r="F308" s="74" t="s">
        <v>175</v>
      </c>
      <c r="G308" s="74" t="s">
        <v>154</v>
      </c>
      <c r="H308" s="74" t="s">
        <v>1855</v>
      </c>
      <c r="I308" s="74" t="s">
        <v>1856</v>
      </c>
      <c r="J308" s="73">
        <v>19.2</v>
      </c>
      <c r="K308" s="73">
        <v>6.0</v>
      </c>
      <c r="L308" s="73">
        <v>1.0</v>
      </c>
      <c r="M308" s="73"/>
      <c r="N308" s="75">
        <v>0.5041666666666667</v>
      </c>
      <c r="O308" s="76" t="s">
        <v>1857</v>
      </c>
      <c r="P308" s="75">
        <v>0.5381944444444444</v>
      </c>
      <c r="T308" s="76" t="s">
        <v>1654</v>
      </c>
      <c r="U308" s="74" t="s">
        <v>267</v>
      </c>
      <c r="V308" s="74" t="s">
        <v>411</v>
      </c>
      <c r="W308" s="74"/>
      <c r="Y308" s="74"/>
      <c r="Z308" s="74"/>
      <c r="AA308" s="74"/>
      <c r="AB308" s="74"/>
      <c r="AC308" s="74"/>
      <c r="AD308" s="74"/>
      <c r="AE308" s="74"/>
      <c r="AF308" s="74"/>
      <c r="AG308" s="74"/>
    </row>
    <row r="309">
      <c r="A309" s="73">
        <v>2022.0</v>
      </c>
      <c r="B309" s="73" t="s">
        <v>400</v>
      </c>
      <c r="C309" s="73">
        <v>25.0</v>
      </c>
      <c r="D309" s="74" t="s">
        <v>243</v>
      </c>
      <c r="E309" s="74" t="s">
        <v>175</v>
      </c>
      <c r="F309" s="74" t="s">
        <v>175</v>
      </c>
      <c r="G309" s="74" t="s">
        <v>154</v>
      </c>
      <c r="H309" s="74" t="s">
        <v>1855</v>
      </c>
      <c r="I309" s="74" t="s">
        <v>1856</v>
      </c>
      <c r="J309" s="73">
        <v>19.2</v>
      </c>
      <c r="K309" s="73">
        <v>6.0</v>
      </c>
      <c r="L309" s="73">
        <v>2.0</v>
      </c>
      <c r="M309" s="73"/>
      <c r="N309" s="75">
        <v>0.5381944444444444</v>
      </c>
      <c r="O309" s="76" t="s">
        <v>1654</v>
      </c>
      <c r="P309" s="75">
        <v>0.5819444444444445</v>
      </c>
      <c r="T309" s="76" t="s">
        <v>833</v>
      </c>
      <c r="U309" s="74" t="s">
        <v>287</v>
      </c>
      <c r="V309" s="74" t="s">
        <v>267</v>
      </c>
      <c r="W309" s="74"/>
      <c r="Y309" s="74"/>
      <c r="Z309" s="74"/>
      <c r="AA309" s="74"/>
      <c r="AB309" s="74"/>
      <c r="AC309" s="74"/>
      <c r="AD309" s="74"/>
      <c r="AE309" s="74"/>
      <c r="AF309" s="74"/>
      <c r="AG309" s="74"/>
    </row>
    <row r="310">
      <c r="A310" s="73">
        <v>2022.0</v>
      </c>
      <c r="B310" s="73" t="s">
        <v>400</v>
      </c>
      <c r="C310" s="73">
        <v>25.0</v>
      </c>
      <c r="D310" s="74" t="s">
        <v>243</v>
      </c>
      <c r="E310" s="74" t="s">
        <v>175</v>
      </c>
      <c r="F310" s="74" t="s">
        <v>175</v>
      </c>
      <c r="G310" s="74" t="s">
        <v>154</v>
      </c>
      <c r="H310" s="74" t="s">
        <v>1855</v>
      </c>
      <c r="I310" s="74" t="s">
        <v>1856</v>
      </c>
      <c r="J310" s="73">
        <v>19.2</v>
      </c>
      <c r="K310" s="73">
        <v>6.0</v>
      </c>
      <c r="L310" s="73">
        <v>3.0</v>
      </c>
      <c r="M310" s="73"/>
      <c r="N310" s="75">
        <v>0.5819444444444445</v>
      </c>
      <c r="O310" s="76" t="s">
        <v>833</v>
      </c>
      <c r="P310" s="75">
        <v>0.638888888888889</v>
      </c>
      <c r="T310" s="76" t="s">
        <v>1858</v>
      </c>
      <c r="U310" s="74" t="s">
        <v>287</v>
      </c>
      <c r="V310" s="74" t="s">
        <v>411</v>
      </c>
      <c r="W310" s="74"/>
      <c r="Y310" s="74"/>
      <c r="Z310" s="74"/>
      <c r="AA310" s="74"/>
      <c r="AB310" s="74"/>
      <c r="AC310" s="74"/>
      <c r="AD310" s="74"/>
      <c r="AE310" s="74"/>
      <c r="AF310" s="74"/>
      <c r="AG310" s="74"/>
    </row>
    <row r="311">
      <c r="A311" s="73">
        <v>2022.0</v>
      </c>
      <c r="B311" s="73" t="s">
        <v>400</v>
      </c>
      <c r="C311" s="73">
        <v>25.0</v>
      </c>
      <c r="D311" s="74" t="s">
        <v>243</v>
      </c>
      <c r="E311" s="74" t="s">
        <v>175</v>
      </c>
      <c r="F311" s="74" t="s">
        <v>175</v>
      </c>
      <c r="G311" s="74" t="s">
        <v>154</v>
      </c>
      <c r="H311" s="74" t="s">
        <v>1859</v>
      </c>
      <c r="I311" s="74" t="s">
        <v>1860</v>
      </c>
      <c r="J311" s="73">
        <v>20.4</v>
      </c>
      <c r="K311" s="73">
        <v>7.0</v>
      </c>
      <c r="L311" s="73">
        <v>1.0</v>
      </c>
      <c r="M311" s="73"/>
      <c r="N311" s="75">
        <v>0.5076388888888889</v>
      </c>
      <c r="O311" s="76" t="s">
        <v>1082</v>
      </c>
      <c r="P311" s="75">
        <v>0.5395833333333333</v>
      </c>
      <c r="T311" s="76" t="s">
        <v>1659</v>
      </c>
      <c r="U311" s="74" t="s">
        <v>287</v>
      </c>
      <c r="V311" s="74" t="s">
        <v>376</v>
      </c>
      <c r="W311" s="74"/>
      <c r="Y311" s="74"/>
      <c r="Z311" s="74"/>
      <c r="AA311" s="74"/>
      <c r="AB311" s="74"/>
      <c r="AC311" s="74"/>
      <c r="AD311" s="74"/>
      <c r="AE311" s="74"/>
      <c r="AF311" s="74"/>
      <c r="AG311" s="74"/>
    </row>
    <row r="312">
      <c r="A312" s="73">
        <v>2022.0</v>
      </c>
      <c r="B312" s="73" t="s">
        <v>400</v>
      </c>
      <c r="C312" s="73">
        <v>25.0</v>
      </c>
      <c r="D312" s="74" t="s">
        <v>243</v>
      </c>
      <c r="E312" s="74" t="s">
        <v>175</v>
      </c>
      <c r="F312" s="74" t="s">
        <v>175</v>
      </c>
      <c r="G312" s="74" t="s">
        <v>154</v>
      </c>
      <c r="H312" s="74" t="s">
        <v>1859</v>
      </c>
      <c r="I312" s="74" t="s">
        <v>1860</v>
      </c>
      <c r="J312" s="73">
        <v>20.4</v>
      </c>
      <c r="K312" s="73">
        <v>7.0</v>
      </c>
      <c r="L312" s="73">
        <v>2.0</v>
      </c>
      <c r="M312" s="73"/>
      <c r="N312" s="75">
        <v>0.5395833333333333</v>
      </c>
      <c r="O312" s="76" t="s">
        <v>1659</v>
      </c>
      <c r="P312" s="75">
        <v>0.5833333333333334</v>
      </c>
      <c r="T312" s="76" t="s">
        <v>673</v>
      </c>
      <c r="U312" s="74"/>
      <c r="V312" s="74" t="s">
        <v>376</v>
      </c>
      <c r="W312" s="74"/>
      <c r="Y312" s="74"/>
      <c r="Z312" s="74"/>
      <c r="AA312" s="74"/>
      <c r="AB312" s="74"/>
      <c r="AC312" s="74"/>
      <c r="AD312" s="74"/>
      <c r="AE312" s="74"/>
      <c r="AF312" s="74"/>
      <c r="AG312" s="74"/>
    </row>
    <row r="313">
      <c r="A313" s="73">
        <v>2022.0</v>
      </c>
      <c r="B313" s="73" t="s">
        <v>400</v>
      </c>
      <c r="C313" s="73">
        <v>25.0</v>
      </c>
      <c r="D313" s="74" t="s">
        <v>243</v>
      </c>
      <c r="E313" s="74" t="s">
        <v>175</v>
      </c>
      <c r="F313" s="74" t="s">
        <v>175</v>
      </c>
      <c r="G313" s="74" t="s">
        <v>154</v>
      </c>
      <c r="H313" s="74" t="s">
        <v>1859</v>
      </c>
      <c r="I313" s="74" t="s">
        <v>1860</v>
      </c>
      <c r="J313" s="73">
        <v>20.4</v>
      </c>
      <c r="K313" s="73">
        <v>7.0</v>
      </c>
      <c r="L313" s="73">
        <v>3.0</v>
      </c>
      <c r="M313" s="73"/>
      <c r="N313" s="75">
        <v>0.5833333333333334</v>
      </c>
      <c r="O313" s="76" t="s">
        <v>673</v>
      </c>
      <c r="P313" s="75">
        <v>0.6409722222222222</v>
      </c>
      <c r="T313" s="76" t="s">
        <v>1314</v>
      </c>
      <c r="U313" s="74"/>
      <c r="V313" s="74" t="s">
        <v>376</v>
      </c>
      <c r="W313" s="74"/>
      <c r="Y313" s="74"/>
      <c r="Z313" s="74"/>
      <c r="AA313" s="74"/>
      <c r="AB313" s="74"/>
      <c r="AC313" s="74"/>
      <c r="AD313" s="74"/>
      <c r="AE313" s="74"/>
      <c r="AF313" s="74"/>
      <c r="AG313" s="74"/>
    </row>
    <row r="314">
      <c r="A314" s="73">
        <v>2022.0</v>
      </c>
      <c r="B314" s="73" t="s">
        <v>400</v>
      </c>
      <c r="C314" s="73">
        <v>26.0</v>
      </c>
      <c r="D314" s="74" t="s">
        <v>243</v>
      </c>
      <c r="E314" s="74" t="s">
        <v>175</v>
      </c>
      <c r="F314" s="74" t="s">
        <v>175</v>
      </c>
      <c r="G314" s="74" t="s">
        <v>154</v>
      </c>
      <c r="H314" s="74" t="s">
        <v>1861</v>
      </c>
      <c r="I314" s="74" t="s">
        <v>1862</v>
      </c>
      <c r="J314" s="73">
        <v>20.8</v>
      </c>
      <c r="K314" s="73">
        <v>1.0</v>
      </c>
      <c r="L314" s="73">
        <v>1.0</v>
      </c>
      <c r="M314" s="73"/>
      <c r="N314" s="75">
        <v>0.3625</v>
      </c>
      <c r="O314" s="76" t="s">
        <v>1863</v>
      </c>
      <c r="P314" s="75">
        <v>0.4076388888888889</v>
      </c>
      <c r="T314" s="76" t="s">
        <v>1664</v>
      </c>
      <c r="U314" s="74"/>
      <c r="V314" s="74" t="s">
        <v>422</v>
      </c>
      <c r="W314" s="74"/>
      <c r="Y314" s="74"/>
      <c r="Z314" s="74"/>
      <c r="AA314" s="74"/>
      <c r="AB314" s="74"/>
      <c r="AC314" s="74"/>
      <c r="AD314" s="74"/>
      <c r="AE314" s="74"/>
      <c r="AF314" s="74"/>
      <c r="AG314" s="74"/>
    </row>
    <row r="315">
      <c r="A315" s="73">
        <v>2022.0</v>
      </c>
      <c r="B315" s="73" t="s">
        <v>400</v>
      </c>
      <c r="C315" s="73">
        <v>26.0</v>
      </c>
      <c r="D315" s="74" t="s">
        <v>243</v>
      </c>
      <c r="E315" s="74" t="s">
        <v>175</v>
      </c>
      <c r="F315" s="74" t="s">
        <v>175</v>
      </c>
      <c r="G315" s="74" t="s">
        <v>154</v>
      </c>
      <c r="H315" s="74" t="s">
        <v>1861</v>
      </c>
      <c r="I315" s="74" t="s">
        <v>1862</v>
      </c>
      <c r="J315" s="73">
        <v>20.8</v>
      </c>
      <c r="K315" s="73">
        <v>1.0</v>
      </c>
      <c r="L315" s="73">
        <v>2.0</v>
      </c>
      <c r="M315" s="73"/>
      <c r="N315" s="75">
        <v>0.4076388888888889</v>
      </c>
      <c r="O315" s="76" t="s">
        <v>1664</v>
      </c>
      <c r="P315" s="75">
        <v>0.44930555555555557</v>
      </c>
      <c r="T315" s="76" t="s">
        <v>1864</v>
      </c>
      <c r="U315" s="74" t="s">
        <v>287</v>
      </c>
      <c r="V315" s="74" t="s">
        <v>376</v>
      </c>
      <c r="W315" s="74"/>
      <c r="Y315" s="74"/>
      <c r="Z315" s="74"/>
      <c r="AA315" s="74"/>
      <c r="AB315" s="74"/>
      <c r="AC315" s="74"/>
      <c r="AD315" s="74"/>
      <c r="AE315" s="74"/>
      <c r="AF315" s="74"/>
      <c r="AG315" s="74"/>
    </row>
    <row r="316">
      <c r="A316" s="73">
        <v>2022.0</v>
      </c>
      <c r="B316" s="73" t="s">
        <v>400</v>
      </c>
      <c r="C316" s="73">
        <v>26.0</v>
      </c>
      <c r="D316" s="74" t="s">
        <v>243</v>
      </c>
      <c r="E316" s="74" t="s">
        <v>175</v>
      </c>
      <c r="F316" s="74" t="s">
        <v>175</v>
      </c>
      <c r="G316" s="74" t="s">
        <v>154</v>
      </c>
      <c r="H316" s="74" t="s">
        <v>1861</v>
      </c>
      <c r="I316" s="74" t="s">
        <v>1862</v>
      </c>
      <c r="J316" s="73">
        <v>20.8</v>
      </c>
      <c r="K316" s="73">
        <v>1.0</v>
      </c>
      <c r="L316" s="73">
        <v>3.0</v>
      </c>
      <c r="M316" s="73"/>
      <c r="N316" s="75">
        <v>0.44930555555555557</v>
      </c>
      <c r="O316" s="76" t="s">
        <v>1864</v>
      </c>
      <c r="P316" s="75">
        <v>0.4902777777777778</v>
      </c>
      <c r="T316" s="76" t="s">
        <v>961</v>
      </c>
      <c r="U316" s="74"/>
      <c r="V316" s="74" t="s">
        <v>376</v>
      </c>
      <c r="W316" s="74"/>
      <c r="Y316" s="74"/>
      <c r="Z316" s="74"/>
      <c r="AA316" s="74"/>
      <c r="AB316" s="74"/>
      <c r="AC316" s="74"/>
      <c r="AD316" s="74"/>
      <c r="AE316" s="74"/>
      <c r="AF316" s="74"/>
      <c r="AG316" s="74"/>
    </row>
    <row r="317">
      <c r="A317" s="73">
        <v>2022.0</v>
      </c>
      <c r="B317" s="73" t="s">
        <v>400</v>
      </c>
      <c r="C317" s="73">
        <v>26.0</v>
      </c>
      <c r="D317" s="74" t="s">
        <v>243</v>
      </c>
      <c r="E317" s="74" t="s">
        <v>175</v>
      </c>
      <c r="F317" s="74" t="s">
        <v>175</v>
      </c>
      <c r="G317" s="74" t="s">
        <v>154</v>
      </c>
      <c r="H317" s="74" t="s">
        <v>1861</v>
      </c>
      <c r="I317" s="74" t="s">
        <v>1862</v>
      </c>
      <c r="J317" s="73">
        <v>20.8</v>
      </c>
      <c r="K317" s="73">
        <v>1.0</v>
      </c>
      <c r="L317" s="73">
        <v>4.0</v>
      </c>
      <c r="M317" s="73"/>
      <c r="N317" s="75">
        <v>0.4902777777777778</v>
      </c>
      <c r="O317" s="76" t="s">
        <v>961</v>
      </c>
      <c r="P317" s="75">
        <v>0.5270833333333333</v>
      </c>
      <c r="T317" s="76" t="s">
        <v>1865</v>
      </c>
      <c r="U317" s="74"/>
      <c r="V317" s="74" t="s">
        <v>422</v>
      </c>
      <c r="W317" s="74"/>
      <c r="Y317" s="74"/>
      <c r="Z317" s="74"/>
      <c r="AA317" s="74"/>
      <c r="AB317" s="74"/>
      <c r="AC317" s="74"/>
      <c r="AD317" s="74"/>
      <c r="AE317" s="74"/>
      <c r="AF317" s="74"/>
      <c r="AG317" s="74"/>
    </row>
    <row r="318">
      <c r="A318" s="73">
        <v>2022.0</v>
      </c>
      <c r="B318" s="73" t="s">
        <v>400</v>
      </c>
      <c r="C318" s="73">
        <v>26.0</v>
      </c>
      <c r="D318" s="74" t="s">
        <v>243</v>
      </c>
      <c r="E318" s="74" t="s">
        <v>175</v>
      </c>
      <c r="F318" s="74" t="s">
        <v>175</v>
      </c>
      <c r="G318" s="74" t="s">
        <v>154</v>
      </c>
      <c r="H318" s="74" t="s">
        <v>1861</v>
      </c>
      <c r="I318" s="74" t="s">
        <v>1862</v>
      </c>
      <c r="J318" s="73">
        <v>20.8</v>
      </c>
      <c r="K318" s="73">
        <v>1.0</v>
      </c>
      <c r="L318" s="73">
        <v>5.0</v>
      </c>
      <c r="M318" s="73"/>
      <c r="N318" s="75">
        <v>0.5270833333333333</v>
      </c>
      <c r="O318" s="76" t="s">
        <v>1865</v>
      </c>
      <c r="P318" s="75">
        <v>0.5930555555555556</v>
      </c>
      <c r="T318" s="76" t="s">
        <v>1801</v>
      </c>
      <c r="U318" s="74" t="s">
        <v>1344</v>
      </c>
      <c r="V318" s="74" t="s">
        <v>422</v>
      </c>
      <c r="W318" s="74"/>
      <c r="Y318" s="74"/>
      <c r="Z318" s="74"/>
      <c r="AA318" s="74"/>
      <c r="AB318" s="74"/>
      <c r="AC318" s="74"/>
      <c r="AD318" s="74"/>
      <c r="AE318" s="74"/>
      <c r="AF318" s="74"/>
      <c r="AG318" s="74"/>
    </row>
    <row r="319">
      <c r="A319" s="73">
        <v>2022.0</v>
      </c>
      <c r="B319" s="73" t="s">
        <v>400</v>
      </c>
      <c r="C319" s="73">
        <v>26.0</v>
      </c>
      <c r="D319" s="74" t="s">
        <v>243</v>
      </c>
      <c r="E319" s="74" t="s">
        <v>175</v>
      </c>
      <c r="F319" s="74" t="s">
        <v>175</v>
      </c>
      <c r="G319" s="74" t="s">
        <v>154</v>
      </c>
      <c r="H319" s="74" t="s">
        <v>1861</v>
      </c>
      <c r="I319" s="74" t="s">
        <v>1862</v>
      </c>
      <c r="J319" s="73">
        <v>20.8</v>
      </c>
      <c r="K319" s="73">
        <v>1.0</v>
      </c>
      <c r="L319" s="73">
        <v>6.0</v>
      </c>
      <c r="M319" s="73"/>
      <c r="N319" s="75">
        <v>0.5930555555555556</v>
      </c>
      <c r="O319" s="76" t="s">
        <v>1801</v>
      </c>
      <c r="P319" s="75">
        <v>0.6243055555555556</v>
      </c>
      <c r="T319" s="76" t="s">
        <v>1866</v>
      </c>
      <c r="U319" s="74" t="s">
        <v>1344</v>
      </c>
      <c r="V319" s="74" t="s">
        <v>376</v>
      </c>
      <c r="W319" s="74"/>
      <c r="Y319" s="74"/>
      <c r="Z319" s="74"/>
      <c r="AA319" s="74"/>
      <c r="AB319" s="74"/>
      <c r="AC319" s="74"/>
      <c r="AD319" s="74"/>
      <c r="AE319" s="74"/>
      <c r="AF319" s="74"/>
      <c r="AG319" s="74"/>
    </row>
    <row r="320">
      <c r="A320" s="73">
        <v>2022.0</v>
      </c>
      <c r="B320" s="73" t="s">
        <v>400</v>
      </c>
      <c r="C320" s="73">
        <v>26.0</v>
      </c>
      <c r="D320" s="74" t="s">
        <v>243</v>
      </c>
      <c r="E320" s="74" t="s">
        <v>175</v>
      </c>
      <c r="F320" s="74" t="s">
        <v>175</v>
      </c>
      <c r="G320" s="74" t="s">
        <v>154</v>
      </c>
      <c r="H320" s="74" t="s">
        <v>1867</v>
      </c>
      <c r="I320" s="74" t="s">
        <v>1868</v>
      </c>
      <c r="J320" s="73">
        <v>18.5</v>
      </c>
      <c r="K320" s="73">
        <v>2.0</v>
      </c>
      <c r="L320" s="73">
        <v>1.0</v>
      </c>
      <c r="M320" s="73"/>
      <c r="N320" s="75">
        <v>0.3645833333333333</v>
      </c>
      <c r="O320" s="76" t="s">
        <v>1869</v>
      </c>
      <c r="P320" s="75">
        <v>0.40902777777777777</v>
      </c>
      <c r="T320" s="76" t="s">
        <v>1632</v>
      </c>
      <c r="U320" s="74"/>
      <c r="V320" s="74" t="s">
        <v>422</v>
      </c>
      <c r="W320" s="74"/>
      <c r="Y320" s="74"/>
      <c r="Z320" s="74"/>
      <c r="AA320" s="74"/>
      <c r="AB320" s="74"/>
      <c r="AC320" s="74"/>
      <c r="AD320" s="74"/>
      <c r="AE320" s="74"/>
      <c r="AF320" s="74"/>
      <c r="AG320" s="74"/>
    </row>
    <row r="321">
      <c r="A321" s="73">
        <v>2022.0</v>
      </c>
      <c r="B321" s="73" t="s">
        <v>400</v>
      </c>
      <c r="C321" s="73">
        <v>26.0</v>
      </c>
      <c r="D321" s="74" t="s">
        <v>243</v>
      </c>
      <c r="E321" s="74" t="s">
        <v>175</v>
      </c>
      <c r="F321" s="74" t="s">
        <v>175</v>
      </c>
      <c r="G321" s="74" t="s">
        <v>154</v>
      </c>
      <c r="H321" s="74" t="s">
        <v>1867</v>
      </c>
      <c r="I321" s="74" t="s">
        <v>1868</v>
      </c>
      <c r="J321" s="73">
        <v>18.5</v>
      </c>
      <c r="K321" s="73">
        <v>2.0</v>
      </c>
      <c r="L321" s="73">
        <v>2.0</v>
      </c>
      <c r="M321" s="73"/>
      <c r="N321" s="75">
        <v>0.40902777777777777</v>
      </c>
      <c r="O321" s="76" t="s">
        <v>1632</v>
      </c>
      <c r="P321" s="75">
        <v>0.45069444444444445</v>
      </c>
      <c r="T321" s="76" t="s">
        <v>779</v>
      </c>
      <c r="U321" s="74" t="s">
        <v>267</v>
      </c>
      <c r="V321" s="74" t="s">
        <v>411</v>
      </c>
      <c r="W321" s="74"/>
      <c r="Y321" s="74"/>
      <c r="Z321" s="74"/>
      <c r="AA321" s="74"/>
      <c r="AB321" s="74"/>
      <c r="AC321" s="74"/>
      <c r="AD321" s="74"/>
      <c r="AE321" s="74"/>
      <c r="AF321" s="74"/>
      <c r="AG321" s="74"/>
    </row>
    <row r="322">
      <c r="A322" s="73">
        <v>2022.0</v>
      </c>
      <c r="B322" s="73" t="s">
        <v>400</v>
      </c>
      <c r="C322" s="73">
        <v>26.0</v>
      </c>
      <c r="D322" s="74" t="s">
        <v>243</v>
      </c>
      <c r="E322" s="74" t="s">
        <v>175</v>
      </c>
      <c r="F322" s="74" t="s">
        <v>175</v>
      </c>
      <c r="G322" s="74" t="s">
        <v>154</v>
      </c>
      <c r="H322" s="74" t="s">
        <v>1867</v>
      </c>
      <c r="I322" s="74" t="s">
        <v>1868</v>
      </c>
      <c r="J322" s="73">
        <v>18.5</v>
      </c>
      <c r="K322" s="73">
        <v>2.0</v>
      </c>
      <c r="L322" s="73">
        <v>3.0</v>
      </c>
      <c r="M322" s="73"/>
      <c r="N322" s="75">
        <v>0.45069444444444445</v>
      </c>
      <c r="O322" s="76" t="s">
        <v>779</v>
      </c>
      <c r="P322" s="75">
        <v>0.4916666666666667</v>
      </c>
      <c r="T322" s="76" t="s">
        <v>1839</v>
      </c>
      <c r="U322" s="74" t="s">
        <v>267</v>
      </c>
      <c r="V322" s="74" t="s">
        <v>422</v>
      </c>
      <c r="W322" s="74"/>
      <c r="Y322" s="74"/>
      <c r="Z322" s="74"/>
      <c r="AA322" s="74"/>
      <c r="AB322" s="74"/>
      <c r="AC322" s="74"/>
      <c r="AD322" s="74"/>
      <c r="AE322" s="74"/>
      <c r="AF322" s="74"/>
      <c r="AG322" s="74"/>
    </row>
    <row r="323">
      <c r="A323" s="73">
        <v>2022.0</v>
      </c>
      <c r="B323" s="73" t="s">
        <v>400</v>
      </c>
      <c r="C323" s="73">
        <v>26.0</v>
      </c>
      <c r="D323" s="74" t="s">
        <v>243</v>
      </c>
      <c r="E323" s="74" t="s">
        <v>175</v>
      </c>
      <c r="F323" s="74" t="s">
        <v>175</v>
      </c>
      <c r="G323" s="74" t="s">
        <v>154</v>
      </c>
      <c r="H323" s="74" t="s">
        <v>1867</v>
      </c>
      <c r="I323" s="74" t="s">
        <v>1868</v>
      </c>
      <c r="J323" s="73">
        <v>18.5</v>
      </c>
      <c r="K323" s="73">
        <v>2.0</v>
      </c>
      <c r="L323" s="73">
        <v>4.0</v>
      </c>
      <c r="M323" s="73"/>
      <c r="N323" s="75">
        <v>0.4916666666666667</v>
      </c>
      <c r="O323" s="76" t="s">
        <v>1839</v>
      </c>
      <c r="P323" s="75">
        <v>0.5277777777777778</v>
      </c>
      <c r="T323" s="76" t="s">
        <v>1636</v>
      </c>
      <c r="U323" s="74" t="s">
        <v>1344</v>
      </c>
      <c r="V323" s="74" t="s">
        <v>422</v>
      </c>
      <c r="W323" s="74"/>
      <c r="Y323" s="74"/>
      <c r="Z323" s="74"/>
      <c r="AA323" s="74"/>
      <c r="AB323" s="74"/>
      <c r="AC323" s="74"/>
      <c r="AD323" s="74"/>
      <c r="AE323" s="74"/>
      <c r="AF323" s="74"/>
      <c r="AG323" s="74"/>
    </row>
    <row r="324">
      <c r="A324" s="73">
        <v>2022.0</v>
      </c>
      <c r="B324" s="73" t="s">
        <v>400</v>
      </c>
      <c r="C324" s="73">
        <v>26.0</v>
      </c>
      <c r="D324" s="74" t="s">
        <v>243</v>
      </c>
      <c r="E324" s="74" t="s">
        <v>175</v>
      </c>
      <c r="F324" s="74" t="s">
        <v>175</v>
      </c>
      <c r="G324" s="74" t="s">
        <v>154</v>
      </c>
      <c r="H324" s="74" t="s">
        <v>1867</v>
      </c>
      <c r="I324" s="74" t="s">
        <v>1868</v>
      </c>
      <c r="J324" s="73">
        <v>18.5</v>
      </c>
      <c r="K324" s="73">
        <v>2.0</v>
      </c>
      <c r="L324" s="73">
        <v>5.0</v>
      </c>
      <c r="M324" s="73"/>
      <c r="N324" s="75">
        <v>0.5277777777777778</v>
      </c>
      <c r="O324" s="76" t="s">
        <v>1636</v>
      </c>
      <c r="P324" s="75">
        <v>0.59375</v>
      </c>
      <c r="T324" s="76" t="s">
        <v>903</v>
      </c>
      <c r="U324" s="74" t="s">
        <v>1344</v>
      </c>
      <c r="V324" s="74" t="s">
        <v>411</v>
      </c>
      <c r="W324" s="74"/>
      <c r="Y324" s="74"/>
      <c r="Z324" s="74"/>
      <c r="AA324" s="74"/>
      <c r="AB324" s="74"/>
      <c r="AC324" s="74"/>
      <c r="AD324" s="74"/>
      <c r="AE324" s="74"/>
      <c r="AF324" s="74"/>
      <c r="AG324" s="74"/>
    </row>
    <row r="325">
      <c r="A325" s="73">
        <v>2022.0</v>
      </c>
      <c r="B325" s="73" t="s">
        <v>400</v>
      </c>
      <c r="C325" s="73">
        <v>26.0</v>
      </c>
      <c r="D325" s="74" t="s">
        <v>243</v>
      </c>
      <c r="E325" s="74" t="s">
        <v>175</v>
      </c>
      <c r="F325" s="74" t="s">
        <v>175</v>
      </c>
      <c r="G325" s="74" t="s">
        <v>154</v>
      </c>
      <c r="H325" s="74" t="s">
        <v>1867</v>
      </c>
      <c r="I325" s="74" t="s">
        <v>1868</v>
      </c>
      <c r="J325" s="73">
        <v>18.5</v>
      </c>
      <c r="K325" s="73">
        <v>2.0</v>
      </c>
      <c r="L325" s="73">
        <v>6.0</v>
      </c>
      <c r="M325" s="73"/>
      <c r="N325" s="75">
        <v>0.59375</v>
      </c>
      <c r="O325" s="76" t="s">
        <v>903</v>
      </c>
      <c r="P325" s="75">
        <v>0.6291666666666667</v>
      </c>
      <c r="T325" s="76" t="s">
        <v>1870</v>
      </c>
      <c r="U325" s="74" t="s">
        <v>1344</v>
      </c>
      <c r="V325" s="74" t="s">
        <v>376</v>
      </c>
      <c r="W325" s="74"/>
      <c r="Y325" s="74"/>
      <c r="Z325" s="74"/>
      <c r="AA325" s="74"/>
      <c r="AB325" s="74"/>
      <c r="AC325" s="74"/>
      <c r="AD325" s="74"/>
      <c r="AE325" s="74"/>
      <c r="AF325" s="74"/>
      <c r="AG325" s="74"/>
    </row>
    <row r="326">
      <c r="A326" s="73">
        <v>2022.0</v>
      </c>
      <c r="B326" s="73" t="s">
        <v>400</v>
      </c>
      <c r="C326" s="73">
        <v>26.0</v>
      </c>
      <c r="D326" s="74" t="s">
        <v>243</v>
      </c>
      <c r="E326" s="74" t="s">
        <v>175</v>
      </c>
      <c r="F326" s="74" t="s">
        <v>175</v>
      </c>
      <c r="G326" s="74" t="s">
        <v>154</v>
      </c>
      <c r="H326" s="74" t="s">
        <v>1871</v>
      </c>
      <c r="I326" s="74" t="s">
        <v>1872</v>
      </c>
      <c r="J326" s="73">
        <v>19.3</v>
      </c>
      <c r="K326" s="73">
        <v>3.0</v>
      </c>
      <c r="L326" s="73">
        <v>1.0</v>
      </c>
      <c r="M326" s="73"/>
      <c r="N326" s="75">
        <v>0.3666666666666667</v>
      </c>
      <c r="O326" s="76" t="s">
        <v>571</v>
      </c>
      <c r="P326" s="75">
        <v>0.41111111111111115</v>
      </c>
      <c r="T326" s="76" t="s">
        <v>1873</v>
      </c>
      <c r="U326" s="74"/>
      <c r="V326" s="74" t="s">
        <v>376</v>
      </c>
      <c r="W326" s="74"/>
      <c r="Y326" s="74"/>
      <c r="Z326" s="74"/>
      <c r="AA326" s="74"/>
      <c r="AB326" s="74"/>
      <c r="AC326" s="74"/>
      <c r="AD326" s="74"/>
      <c r="AE326" s="74"/>
      <c r="AF326" s="74"/>
      <c r="AG326" s="74"/>
    </row>
    <row r="327">
      <c r="A327" s="73">
        <v>2022.0</v>
      </c>
      <c r="B327" s="73" t="s">
        <v>400</v>
      </c>
      <c r="C327" s="73">
        <v>26.0</v>
      </c>
      <c r="D327" s="74" t="s">
        <v>243</v>
      </c>
      <c r="E327" s="74" t="s">
        <v>175</v>
      </c>
      <c r="F327" s="74" t="s">
        <v>175</v>
      </c>
      <c r="G327" s="74" t="s">
        <v>154</v>
      </c>
      <c r="H327" s="74" t="s">
        <v>1871</v>
      </c>
      <c r="I327" s="74" t="s">
        <v>1872</v>
      </c>
      <c r="J327" s="73">
        <v>19.3</v>
      </c>
      <c r="K327" s="73">
        <v>3.0</v>
      </c>
      <c r="L327" s="73">
        <v>2.0</v>
      </c>
      <c r="M327" s="73"/>
      <c r="N327" s="75">
        <v>0.41111111111111115</v>
      </c>
      <c r="O327" s="76" t="s">
        <v>1873</v>
      </c>
      <c r="P327" s="75">
        <v>0.45208333333333334</v>
      </c>
      <c r="T327" s="76" t="s">
        <v>1874</v>
      </c>
      <c r="U327" s="74"/>
      <c r="V327" s="74" t="s">
        <v>376</v>
      </c>
      <c r="W327" s="74"/>
      <c r="Y327" s="74"/>
      <c r="Z327" s="74"/>
      <c r="AA327" s="74"/>
      <c r="AB327" s="74"/>
      <c r="AC327" s="74"/>
      <c r="AD327" s="74"/>
      <c r="AE327" s="74"/>
      <c r="AF327" s="74"/>
      <c r="AG327" s="74"/>
    </row>
    <row r="328">
      <c r="A328" s="73">
        <v>2022.0</v>
      </c>
      <c r="B328" s="73" t="s">
        <v>400</v>
      </c>
      <c r="C328" s="73">
        <v>26.0</v>
      </c>
      <c r="D328" s="74" t="s">
        <v>243</v>
      </c>
      <c r="E328" s="74" t="s">
        <v>175</v>
      </c>
      <c r="F328" s="74" t="s">
        <v>175</v>
      </c>
      <c r="G328" s="74" t="s">
        <v>154</v>
      </c>
      <c r="H328" s="74" t="s">
        <v>1871</v>
      </c>
      <c r="I328" s="74" t="s">
        <v>1872</v>
      </c>
      <c r="J328" s="73">
        <v>19.3</v>
      </c>
      <c r="K328" s="73">
        <v>3.0</v>
      </c>
      <c r="L328" s="73">
        <v>3.0</v>
      </c>
      <c r="M328" s="73"/>
      <c r="N328" s="75">
        <v>0.45208333333333334</v>
      </c>
      <c r="O328" s="76" t="s">
        <v>1874</v>
      </c>
      <c r="P328" s="75">
        <v>0.4930555555555556</v>
      </c>
      <c r="T328" s="76" t="s">
        <v>973</v>
      </c>
      <c r="U328" s="74" t="s">
        <v>1344</v>
      </c>
      <c r="V328" s="74" t="s">
        <v>411</v>
      </c>
      <c r="W328" s="74"/>
      <c r="Y328" s="74"/>
      <c r="Z328" s="74"/>
      <c r="AA328" s="74"/>
      <c r="AB328" s="74"/>
      <c r="AC328" s="74"/>
      <c r="AD328" s="74"/>
      <c r="AE328" s="74"/>
      <c r="AF328" s="74"/>
      <c r="AG328" s="74"/>
    </row>
    <row r="329">
      <c r="A329" s="73">
        <v>2022.0</v>
      </c>
      <c r="B329" s="73" t="s">
        <v>400</v>
      </c>
      <c r="C329" s="73">
        <v>26.0</v>
      </c>
      <c r="D329" s="74" t="s">
        <v>243</v>
      </c>
      <c r="E329" s="74" t="s">
        <v>175</v>
      </c>
      <c r="F329" s="74" t="s">
        <v>175</v>
      </c>
      <c r="G329" s="74" t="s">
        <v>154</v>
      </c>
      <c r="H329" s="74" t="s">
        <v>1871</v>
      </c>
      <c r="I329" s="74" t="s">
        <v>1872</v>
      </c>
      <c r="J329" s="73">
        <v>19.3</v>
      </c>
      <c r="K329" s="73">
        <v>3.0</v>
      </c>
      <c r="L329" s="73">
        <v>4.0</v>
      </c>
      <c r="M329" s="73"/>
      <c r="N329" s="75">
        <v>0.4930555555555556</v>
      </c>
      <c r="O329" s="76" t="s">
        <v>973</v>
      </c>
      <c r="P329" s="75">
        <v>0.5298611111111111</v>
      </c>
      <c r="T329" s="76" t="s">
        <v>1875</v>
      </c>
      <c r="U329" s="74" t="s">
        <v>1344</v>
      </c>
      <c r="V329" s="74" t="s">
        <v>422</v>
      </c>
      <c r="W329" s="74"/>
      <c r="Y329" s="74"/>
      <c r="Z329" s="74"/>
      <c r="AA329" s="74"/>
      <c r="AB329" s="74"/>
      <c r="AC329" s="74"/>
      <c r="AD329" s="74"/>
      <c r="AE329" s="74"/>
      <c r="AF329" s="74"/>
      <c r="AG329" s="74"/>
    </row>
    <row r="330">
      <c r="A330" s="73">
        <v>2022.0</v>
      </c>
      <c r="B330" s="73" t="s">
        <v>400</v>
      </c>
      <c r="C330" s="73">
        <v>26.0</v>
      </c>
      <c r="D330" s="74" t="s">
        <v>243</v>
      </c>
      <c r="E330" s="74" t="s">
        <v>175</v>
      </c>
      <c r="F330" s="74" t="s">
        <v>175</v>
      </c>
      <c r="G330" s="74" t="s">
        <v>154</v>
      </c>
      <c r="H330" s="74" t="s">
        <v>1871</v>
      </c>
      <c r="I330" s="74" t="s">
        <v>1872</v>
      </c>
      <c r="J330" s="73">
        <v>19.3</v>
      </c>
      <c r="K330" s="73">
        <v>3.0</v>
      </c>
      <c r="L330" s="73">
        <v>5.0</v>
      </c>
      <c r="M330" s="73"/>
      <c r="N330" s="75">
        <v>0.5298611111111111</v>
      </c>
      <c r="O330" s="76" t="s">
        <v>1875</v>
      </c>
      <c r="P330" s="75">
        <v>0.5944444444444444</v>
      </c>
      <c r="T330" s="76" t="s">
        <v>1876</v>
      </c>
      <c r="U330" s="74" t="s">
        <v>1344</v>
      </c>
      <c r="V330" s="74" t="s">
        <v>411</v>
      </c>
      <c r="W330" s="74"/>
      <c r="Y330" s="74"/>
      <c r="Z330" s="74"/>
      <c r="AA330" s="74"/>
      <c r="AB330" s="74"/>
      <c r="AC330" s="74"/>
      <c r="AD330" s="74"/>
      <c r="AE330" s="74"/>
      <c r="AF330" s="74"/>
      <c r="AG330" s="74"/>
    </row>
    <row r="331">
      <c r="A331" s="73">
        <v>2022.0</v>
      </c>
      <c r="B331" s="73" t="s">
        <v>400</v>
      </c>
      <c r="C331" s="73">
        <v>26.0</v>
      </c>
      <c r="D331" s="74" t="s">
        <v>243</v>
      </c>
      <c r="E331" s="74" t="s">
        <v>175</v>
      </c>
      <c r="F331" s="74" t="s">
        <v>175</v>
      </c>
      <c r="G331" s="74" t="s">
        <v>154</v>
      </c>
      <c r="H331" s="74" t="s">
        <v>1871</v>
      </c>
      <c r="I331" s="74" t="s">
        <v>1872</v>
      </c>
      <c r="J331" s="73">
        <v>19.3</v>
      </c>
      <c r="K331" s="73">
        <v>3.0</v>
      </c>
      <c r="L331" s="73">
        <v>6.0</v>
      </c>
      <c r="M331" s="73"/>
      <c r="N331" s="75">
        <v>0.5944444444444444</v>
      </c>
      <c r="O331" s="76" t="s">
        <v>1876</v>
      </c>
      <c r="P331" s="75">
        <v>0.63125</v>
      </c>
      <c r="T331" s="76" t="s">
        <v>1773</v>
      </c>
      <c r="U331" s="74"/>
      <c r="V331" s="74" t="s">
        <v>376</v>
      </c>
      <c r="W331" s="74"/>
      <c r="Y331" s="74"/>
      <c r="Z331" s="74"/>
      <c r="AA331" s="74"/>
      <c r="AB331" s="74"/>
      <c r="AC331" s="74"/>
      <c r="AD331" s="74"/>
      <c r="AE331" s="74"/>
      <c r="AF331" s="74"/>
      <c r="AG331" s="74"/>
    </row>
    <row r="332">
      <c r="A332" s="73">
        <v>2022.0</v>
      </c>
      <c r="B332" s="73" t="s">
        <v>400</v>
      </c>
      <c r="C332" s="73">
        <v>26.0</v>
      </c>
      <c r="D332" s="74" t="s">
        <v>243</v>
      </c>
      <c r="E332" s="74" t="s">
        <v>175</v>
      </c>
      <c r="F332" s="74" t="s">
        <v>175</v>
      </c>
      <c r="G332" s="74" t="s">
        <v>154</v>
      </c>
      <c r="H332" s="74" t="s">
        <v>1877</v>
      </c>
      <c r="I332" s="74" t="s">
        <v>1878</v>
      </c>
      <c r="J332" s="73">
        <v>20.0</v>
      </c>
      <c r="K332" s="73">
        <v>4.0</v>
      </c>
      <c r="L332" s="73">
        <v>1.0</v>
      </c>
      <c r="M332" s="73"/>
      <c r="N332" s="75">
        <v>0.36874999999999997</v>
      </c>
      <c r="O332" s="76" t="s">
        <v>1879</v>
      </c>
      <c r="P332" s="75">
        <v>0.41180555555555554</v>
      </c>
      <c r="T332" s="76" t="s">
        <v>1880</v>
      </c>
      <c r="U332" s="74"/>
      <c r="V332" s="74" t="s">
        <v>411</v>
      </c>
      <c r="W332" s="74"/>
      <c r="Y332" s="74"/>
      <c r="Z332" s="74"/>
      <c r="AA332" s="74"/>
      <c r="AB332" s="74"/>
      <c r="AC332" s="74"/>
      <c r="AD332" s="74"/>
      <c r="AE332" s="74"/>
      <c r="AF332" s="74"/>
      <c r="AG332" s="74"/>
    </row>
    <row r="333">
      <c r="A333" s="73">
        <v>2022.0</v>
      </c>
      <c r="B333" s="73" t="s">
        <v>400</v>
      </c>
      <c r="C333" s="73">
        <v>26.0</v>
      </c>
      <c r="D333" s="74" t="s">
        <v>243</v>
      </c>
      <c r="E333" s="74" t="s">
        <v>175</v>
      </c>
      <c r="F333" s="74" t="s">
        <v>175</v>
      </c>
      <c r="G333" s="74" t="s">
        <v>154</v>
      </c>
      <c r="H333" s="74" t="s">
        <v>1877</v>
      </c>
      <c r="I333" s="74" t="s">
        <v>1878</v>
      </c>
      <c r="J333" s="73">
        <v>20.0</v>
      </c>
      <c r="K333" s="73">
        <v>4.0</v>
      </c>
      <c r="L333" s="73">
        <v>2.0</v>
      </c>
      <c r="M333" s="73"/>
      <c r="N333" s="75">
        <v>0.41180555555555554</v>
      </c>
      <c r="O333" s="76" t="s">
        <v>1880</v>
      </c>
      <c r="P333" s="75">
        <v>0.4534722222222222</v>
      </c>
      <c r="T333" s="76" t="s">
        <v>784</v>
      </c>
      <c r="U333" s="74" t="s">
        <v>1344</v>
      </c>
      <c r="V333" s="74" t="s">
        <v>422</v>
      </c>
      <c r="W333" s="74" t="s">
        <v>1881</v>
      </c>
      <c r="Y333" s="74"/>
      <c r="Z333" s="74"/>
      <c r="AA333" s="74"/>
      <c r="AB333" s="74"/>
      <c r="AC333" s="74"/>
      <c r="AD333" s="74"/>
      <c r="AE333" s="74"/>
      <c r="AF333" s="74"/>
      <c r="AG333" s="74"/>
    </row>
    <row r="334">
      <c r="A334" s="73">
        <v>2022.0</v>
      </c>
      <c r="B334" s="73" t="s">
        <v>400</v>
      </c>
      <c r="C334" s="73">
        <v>26.0</v>
      </c>
      <c r="D334" s="74" t="s">
        <v>243</v>
      </c>
      <c r="E334" s="74" t="s">
        <v>175</v>
      </c>
      <c r="F334" s="74" t="s">
        <v>175</v>
      </c>
      <c r="G334" s="74" t="s">
        <v>154</v>
      </c>
      <c r="H334" s="74" t="s">
        <v>1877</v>
      </c>
      <c r="I334" s="74" t="s">
        <v>1878</v>
      </c>
      <c r="J334" s="73">
        <v>20.0</v>
      </c>
      <c r="K334" s="73">
        <v>4.0</v>
      </c>
      <c r="L334" s="73">
        <v>3.0</v>
      </c>
      <c r="M334" s="73"/>
      <c r="N334" s="75">
        <v>0.4534722222222222</v>
      </c>
      <c r="O334" s="76" t="s">
        <v>784</v>
      </c>
      <c r="P334" s="75">
        <v>0.49513888888888885</v>
      </c>
      <c r="T334" s="76" t="s">
        <v>1882</v>
      </c>
      <c r="U334" s="74" t="s">
        <v>1344</v>
      </c>
      <c r="V334" s="74" t="s">
        <v>1844</v>
      </c>
      <c r="W334" s="74"/>
      <c r="Y334" s="74"/>
      <c r="Z334" s="74"/>
      <c r="AA334" s="74"/>
      <c r="AB334" s="74"/>
      <c r="AC334" s="74"/>
      <c r="AD334" s="74"/>
      <c r="AE334" s="74"/>
      <c r="AF334" s="74"/>
      <c r="AG334" s="74"/>
    </row>
    <row r="335">
      <c r="A335" s="73">
        <v>2022.0</v>
      </c>
      <c r="B335" s="73" t="s">
        <v>400</v>
      </c>
      <c r="C335" s="73">
        <v>26.0</v>
      </c>
      <c r="D335" s="74" t="s">
        <v>243</v>
      </c>
      <c r="E335" s="74" t="s">
        <v>175</v>
      </c>
      <c r="F335" s="74" t="s">
        <v>175</v>
      </c>
      <c r="G335" s="74" t="s">
        <v>154</v>
      </c>
      <c r="H335" s="74" t="s">
        <v>1877</v>
      </c>
      <c r="I335" s="74" t="s">
        <v>1878</v>
      </c>
      <c r="J335" s="73">
        <v>20.0</v>
      </c>
      <c r="K335" s="73">
        <v>4.0</v>
      </c>
      <c r="L335" s="73">
        <v>4.0</v>
      </c>
      <c r="M335" s="73"/>
      <c r="N335" s="75">
        <v>0.49513888888888885</v>
      </c>
      <c r="O335" s="76" t="s">
        <v>1882</v>
      </c>
      <c r="P335" s="75">
        <v>0.53125</v>
      </c>
      <c r="T335" s="76" t="s">
        <v>1883</v>
      </c>
      <c r="U335" s="74" t="s">
        <v>1344</v>
      </c>
      <c r="V335" s="74" t="s">
        <v>1884</v>
      </c>
      <c r="W335" s="74"/>
      <c r="Y335" s="74"/>
      <c r="Z335" s="74"/>
      <c r="AA335" s="74"/>
      <c r="AB335" s="74"/>
      <c r="AC335" s="74"/>
      <c r="AD335" s="74"/>
      <c r="AE335" s="74"/>
      <c r="AF335" s="74"/>
      <c r="AG335" s="74"/>
    </row>
    <row r="336">
      <c r="A336" s="73">
        <v>2022.0</v>
      </c>
      <c r="B336" s="73" t="s">
        <v>400</v>
      </c>
      <c r="C336" s="73">
        <v>26.0</v>
      </c>
      <c r="D336" s="74" t="s">
        <v>243</v>
      </c>
      <c r="E336" s="74" t="s">
        <v>175</v>
      </c>
      <c r="F336" s="74" t="s">
        <v>175</v>
      </c>
      <c r="G336" s="74" t="s">
        <v>154</v>
      </c>
      <c r="H336" s="74" t="s">
        <v>1877</v>
      </c>
      <c r="I336" s="74" t="s">
        <v>1878</v>
      </c>
      <c r="J336" s="73">
        <v>20.0</v>
      </c>
      <c r="K336" s="73">
        <v>4.0</v>
      </c>
      <c r="L336" s="73">
        <v>5.0</v>
      </c>
      <c r="M336" s="73"/>
      <c r="N336" s="75">
        <v>0.53125</v>
      </c>
      <c r="O336" s="76" t="s">
        <v>1883</v>
      </c>
      <c r="P336" s="75">
        <v>0.5951388888888889</v>
      </c>
      <c r="T336" s="76" t="s">
        <v>1809</v>
      </c>
      <c r="U336" s="74" t="s">
        <v>1344</v>
      </c>
      <c r="V336" s="74" t="s">
        <v>376</v>
      </c>
      <c r="W336" s="74"/>
      <c r="Y336" s="74"/>
      <c r="Z336" s="74"/>
      <c r="AA336" s="74"/>
      <c r="AB336" s="74"/>
      <c r="AC336" s="74"/>
      <c r="AD336" s="74"/>
      <c r="AE336" s="74"/>
      <c r="AF336" s="74"/>
      <c r="AG336" s="74"/>
    </row>
    <row r="337">
      <c r="A337" s="73">
        <v>2022.0</v>
      </c>
      <c r="B337" s="73" t="s">
        <v>400</v>
      </c>
      <c r="C337" s="73">
        <v>26.0</v>
      </c>
      <c r="D337" s="74" t="s">
        <v>243</v>
      </c>
      <c r="E337" s="74" t="s">
        <v>175</v>
      </c>
      <c r="F337" s="74" t="s">
        <v>175</v>
      </c>
      <c r="G337" s="74" t="s">
        <v>154</v>
      </c>
      <c r="H337" s="74" t="s">
        <v>1877</v>
      </c>
      <c r="I337" s="74" t="s">
        <v>1878</v>
      </c>
      <c r="J337" s="73">
        <v>20.0</v>
      </c>
      <c r="K337" s="73">
        <v>4.0</v>
      </c>
      <c r="L337" s="73">
        <v>6.0</v>
      </c>
      <c r="M337" s="73"/>
      <c r="N337" s="75">
        <v>0.5951388888888889</v>
      </c>
      <c r="O337" s="76" t="s">
        <v>1809</v>
      </c>
      <c r="P337" s="75">
        <v>0.6333333333333333</v>
      </c>
      <c r="T337" s="76" t="s">
        <v>412</v>
      </c>
      <c r="U337" s="74"/>
      <c r="V337" s="74" t="s">
        <v>1885</v>
      </c>
      <c r="W337" s="74"/>
      <c r="Y337" s="74"/>
      <c r="Z337" s="74"/>
      <c r="AA337" s="74"/>
      <c r="AB337" s="74"/>
      <c r="AC337" s="74"/>
      <c r="AD337" s="74"/>
      <c r="AE337" s="74"/>
      <c r="AF337" s="74"/>
      <c r="AG337" s="74"/>
    </row>
    <row r="338">
      <c r="A338" s="73">
        <v>2022.0</v>
      </c>
      <c r="B338" s="73" t="s">
        <v>400</v>
      </c>
      <c r="C338" s="73">
        <v>26.0</v>
      </c>
      <c r="D338" s="74" t="s">
        <v>243</v>
      </c>
      <c r="E338" s="74" t="s">
        <v>175</v>
      </c>
      <c r="F338" s="74" t="s">
        <v>175</v>
      </c>
      <c r="G338" s="74" t="s">
        <v>154</v>
      </c>
      <c r="H338" s="74" t="s">
        <v>1886</v>
      </c>
      <c r="I338" s="74" t="s">
        <v>1887</v>
      </c>
      <c r="J338" s="73">
        <v>19.1</v>
      </c>
      <c r="K338" s="73">
        <v>5.0</v>
      </c>
      <c r="L338" s="73">
        <v>1.0</v>
      </c>
      <c r="M338" s="73"/>
      <c r="N338" s="75">
        <v>0.37083333333333335</v>
      </c>
      <c r="O338" s="76" t="s">
        <v>1888</v>
      </c>
      <c r="P338" s="75">
        <v>0.4138888888888889</v>
      </c>
      <c r="T338" s="76" t="s">
        <v>1889</v>
      </c>
      <c r="U338" s="74" t="s">
        <v>267</v>
      </c>
      <c r="V338" s="74" t="s">
        <v>422</v>
      </c>
      <c r="W338" s="74"/>
      <c r="Y338" s="74"/>
      <c r="Z338" s="74"/>
      <c r="AA338" s="74"/>
      <c r="AB338" s="74"/>
      <c r="AC338" s="74"/>
      <c r="AD338" s="74"/>
      <c r="AE338" s="74"/>
      <c r="AF338" s="74"/>
      <c r="AG338" s="74"/>
    </row>
    <row r="339">
      <c r="A339" s="73">
        <v>2022.0</v>
      </c>
      <c r="B339" s="73" t="s">
        <v>400</v>
      </c>
      <c r="C339" s="73">
        <v>26.0</v>
      </c>
      <c r="D339" s="74" t="s">
        <v>243</v>
      </c>
      <c r="E339" s="74" t="s">
        <v>175</v>
      </c>
      <c r="F339" s="74" t="s">
        <v>175</v>
      </c>
      <c r="G339" s="74" t="s">
        <v>154</v>
      </c>
      <c r="H339" s="74" t="s">
        <v>1886</v>
      </c>
      <c r="I339" s="74" t="s">
        <v>1887</v>
      </c>
      <c r="J339" s="73">
        <v>19.1</v>
      </c>
      <c r="K339" s="73">
        <v>5.0</v>
      </c>
      <c r="L339" s="73">
        <v>2.0</v>
      </c>
      <c r="M339" s="73"/>
      <c r="N339" s="75">
        <v>0.4138888888888889</v>
      </c>
      <c r="O339" s="76" t="s">
        <v>1889</v>
      </c>
      <c r="P339" s="75">
        <v>0.4576388888888889</v>
      </c>
      <c r="T339" s="76" t="s">
        <v>1222</v>
      </c>
      <c r="U339" s="74" t="s">
        <v>1344</v>
      </c>
      <c r="V339" s="74" t="s">
        <v>411</v>
      </c>
      <c r="W339" s="74"/>
      <c r="Y339" s="74"/>
      <c r="Z339" s="74"/>
      <c r="AA339" s="74"/>
      <c r="AB339" s="74"/>
      <c r="AC339" s="74"/>
      <c r="AD339" s="74"/>
      <c r="AE339" s="74"/>
      <c r="AF339" s="74"/>
      <c r="AG339" s="74"/>
    </row>
    <row r="340">
      <c r="A340" s="73">
        <v>2022.0</v>
      </c>
      <c r="B340" s="73" t="s">
        <v>400</v>
      </c>
      <c r="C340" s="73">
        <v>26.0</v>
      </c>
      <c r="D340" s="74" t="s">
        <v>243</v>
      </c>
      <c r="E340" s="74" t="s">
        <v>175</v>
      </c>
      <c r="F340" s="74" t="s">
        <v>175</v>
      </c>
      <c r="G340" s="74" t="s">
        <v>154</v>
      </c>
      <c r="H340" s="74" t="s">
        <v>1886</v>
      </c>
      <c r="I340" s="74" t="s">
        <v>1887</v>
      </c>
      <c r="J340" s="73">
        <v>19.1</v>
      </c>
      <c r="K340" s="73">
        <v>5.0</v>
      </c>
      <c r="L340" s="73">
        <v>3.0</v>
      </c>
      <c r="M340" s="73"/>
      <c r="N340" s="75">
        <v>0.4576388888888889</v>
      </c>
      <c r="O340" s="76" t="s">
        <v>1222</v>
      </c>
      <c r="P340" s="75">
        <v>0.4979166666666666</v>
      </c>
      <c r="T340" s="76" t="s">
        <v>1890</v>
      </c>
      <c r="U340" s="74" t="s">
        <v>1344</v>
      </c>
      <c r="V340" s="74" t="s">
        <v>376</v>
      </c>
      <c r="W340" s="74"/>
      <c r="Y340" s="74"/>
      <c r="Z340" s="74"/>
      <c r="AA340" s="74"/>
      <c r="AB340" s="74"/>
      <c r="AC340" s="74"/>
      <c r="AD340" s="74"/>
      <c r="AE340" s="74"/>
      <c r="AF340" s="74"/>
      <c r="AG340" s="74"/>
    </row>
    <row r="341">
      <c r="A341" s="73">
        <v>2022.0</v>
      </c>
      <c r="B341" s="73" t="s">
        <v>400</v>
      </c>
      <c r="C341" s="73">
        <v>26.0</v>
      </c>
      <c r="D341" s="74" t="s">
        <v>243</v>
      </c>
      <c r="E341" s="74" t="s">
        <v>175</v>
      </c>
      <c r="F341" s="74" t="s">
        <v>175</v>
      </c>
      <c r="G341" s="74" t="s">
        <v>154</v>
      </c>
      <c r="H341" s="74" t="s">
        <v>1886</v>
      </c>
      <c r="I341" s="74" t="s">
        <v>1887</v>
      </c>
      <c r="J341" s="73">
        <v>19.1</v>
      </c>
      <c r="K341" s="73">
        <v>5.0</v>
      </c>
      <c r="L341" s="73">
        <v>4.0</v>
      </c>
      <c r="M341" s="73"/>
      <c r="N341" s="75">
        <v>0.4979166666666666</v>
      </c>
      <c r="O341" s="76" t="s">
        <v>1890</v>
      </c>
      <c r="P341" s="75">
        <v>0.5527777777777778</v>
      </c>
      <c r="T341" s="76" t="s">
        <v>1891</v>
      </c>
      <c r="U341" s="74"/>
      <c r="V341" s="74" t="s">
        <v>422</v>
      </c>
      <c r="W341" s="74"/>
      <c r="Y341" s="74"/>
      <c r="Z341" s="74"/>
      <c r="AA341" s="74"/>
      <c r="AB341" s="74"/>
      <c r="AC341" s="74"/>
      <c r="AD341" s="74"/>
      <c r="AE341" s="74"/>
      <c r="AF341" s="74"/>
      <c r="AG341" s="74"/>
    </row>
    <row r="342">
      <c r="A342" s="73">
        <v>2022.0</v>
      </c>
      <c r="B342" s="73" t="s">
        <v>400</v>
      </c>
      <c r="C342" s="73">
        <v>26.0</v>
      </c>
      <c r="D342" s="74" t="s">
        <v>243</v>
      </c>
      <c r="E342" s="74" t="s">
        <v>175</v>
      </c>
      <c r="F342" s="74" t="s">
        <v>175</v>
      </c>
      <c r="G342" s="74" t="s">
        <v>154</v>
      </c>
      <c r="H342" s="74" t="s">
        <v>1886</v>
      </c>
      <c r="I342" s="74" t="s">
        <v>1887</v>
      </c>
      <c r="J342" s="73">
        <v>19.1</v>
      </c>
      <c r="K342" s="73">
        <v>5.0</v>
      </c>
      <c r="L342" s="73">
        <v>5.0</v>
      </c>
      <c r="M342" s="73"/>
      <c r="N342" s="75">
        <v>0.5527777777777778</v>
      </c>
      <c r="O342" s="76" t="s">
        <v>1891</v>
      </c>
      <c r="P342" s="75">
        <v>0.5958333333333333</v>
      </c>
      <c r="T342" s="76" t="s">
        <v>1892</v>
      </c>
      <c r="U342" s="74" t="s">
        <v>1344</v>
      </c>
      <c r="V342" s="74" t="s">
        <v>376</v>
      </c>
      <c r="W342" s="74"/>
      <c r="Y342" s="74"/>
      <c r="Z342" s="74"/>
      <c r="AA342" s="74"/>
      <c r="AB342" s="74"/>
      <c r="AC342" s="74"/>
      <c r="AD342" s="74"/>
      <c r="AE342" s="74"/>
      <c r="AF342" s="74"/>
      <c r="AG342" s="74"/>
    </row>
    <row r="343">
      <c r="A343" s="73">
        <v>2022.0</v>
      </c>
      <c r="B343" s="73" t="s">
        <v>400</v>
      </c>
      <c r="C343" s="73">
        <v>26.0</v>
      </c>
      <c r="D343" s="74" t="s">
        <v>243</v>
      </c>
      <c r="E343" s="74" t="s">
        <v>175</v>
      </c>
      <c r="F343" s="74" t="s">
        <v>175</v>
      </c>
      <c r="G343" s="74" t="s">
        <v>154</v>
      </c>
      <c r="H343" s="74" t="s">
        <v>1886</v>
      </c>
      <c r="I343" s="74" t="s">
        <v>1887</v>
      </c>
      <c r="J343" s="73">
        <v>19.1</v>
      </c>
      <c r="K343" s="73">
        <v>5.0</v>
      </c>
      <c r="L343" s="73">
        <v>6.0</v>
      </c>
      <c r="M343" s="73"/>
      <c r="N343" s="75">
        <v>0.5958333333333333</v>
      </c>
      <c r="O343" s="76" t="s">
        <v>1892</v>
      </c>
      <c r="P343" s="75">
        <v>0.6375000000000001</v>
      </c>
      <c r="T343" s="76" t="s">
        <v>457</v>
      </c>
      <c r="U343" s="74"/>
      <c r="V343" s="74" t="s">
        <v>376</v>
      </c>
      <c r="W343" s="74"/>
      <c r="Y343" s="74"/>
      <c r="Z343" s="74"/>
      <c r="AA343" s="74"/>
      <c r="AB343" s="74"/>
      <c r="AC343" s="74"/>
      <c r="AD343" s="74"/>
      <c r="AE343" s="74"/>
      <c r="AF343" s="74"/>
      <c r="AG343" s="74"/>
    </row>
    <row r="344">
      <c r="A344" s="73">
        <v>2022.0</v>
      </c>
      <c r="B344" s="73" t="s">
        <v>400</v>
      </c>
      <c r="C344" s="73">
        <v>26.0</v>
      </c>
      <c r="D344" s="74" t="s">
        <v>243</v>
      </c>
      <c r="E344" s="74" t="s">
        <v>175</v>
      </c>
      <c r="F344" s="74" t="s">
        <v>175</v>
      </c>
      <c r="G344" s="74" t="s">
        <v>1842</v>
      </c>
      <c r="H344" s="74" t="s">
        <v>1845</v>
      </c>
      <c r="I344" s="74" t="s">
        <v>1893</v>
      </c>
      <c r="J344" s="73">
        <v>19.7</v>
      </c>
      <c r="K344" s="73">
        <v>6.0</v>
      </c>
      <c r="L344" s="73">
        <v>1.0</v>
      </c>
      <c r="M344" s="73"/>
      <c r="N344" s="75">
        <v>0.3729166666666666</v>
      </c>
      <c r="O344" s="76" t="s">
        <v>1894</v>
      </c>
      <c r="P344" s="75">
        <v>0.4152777777777778</v>
      </c>
      <c r="T344" s="76" t="s">
        <v>1787</v>
      </c>
      <c r="U344" s="74" t="s">
        <v>287</v>
      </c>
      <c r="V344" s="74" t="s">
        <v>1895</v>
      </c>
      <c r="W344" s="74"/>
      <c r="Y344" s="74"/>
      <c r="Z344" s="74"/>
      <c r="AA344" s="74"/>
      <c r="AB344" s="74"/>
      <c r="AC344" s="74"/>
      <c r="AD344" s="74"/>
      <c r="AE344" s="74"/>
      <c r="AF344" s="74"/>
      <c r="AG344" s="74"/>
    </row>
    <row r="345">
      <c r="A345" s="73">
        <v>2022.0</v>
      </c>
      <c r="B345" s="73" t="s">
        <v>400</v>
      </c>
      <c r="C345" s="73">
        <v>26.0</v>
      </c>
      <c r="D345" s="74" t="s">
        <v>243</v>
      </c>
      <c r="E345" s="74" t="s">
        <v>175</v>
      </c>
      <c r="F345" s="74" t="s">
        <v>175</v>
      </c>
      <c r="G345" s="74" t="s">
        <v>1842</v>
      </c>
      <c r="H345" s="74" t="s">
        <v>1845</v>
      </c>
      <c r="I345" s="74" t="s">
        <v>1893</v>
      </c>
      <c r="J345" s="73">
        <v>19.7</v>
      </c>
      <c r="K345" s="73">
        <v>6.0</v>
      </c>
      <c r="L345" s="73">
        <v>2.0</v>
      </c>
      <c r="M345" s="73"/>
      <c r="N345" s="75">
        <v>0.4152777777777778</v>
      </c>
      <c r="O345" s="76" t="s">
        <v>1787</v>
      </c>
      <c r="P345" s="75">
        <v>0.4576388888888889</v>
      </c>
      <c r="T345" s="76" t="s">
        <v>1222</v>
      </c>
      <c r="U345" s="74" t="s">
        <v>287</v>
      </c>
      <c r="V345" s="74" t="s">
        <v>411</v>
      </c>
      <c r="W345" s="74"/>
      <c r="Y345" s="74"/>
      <c r="Z345" s="74"/>
      <c r="AA345" s="74"/>
      <c r="AB345" s="74"/>
      <c r="AC345" s="74"/>
      <c r="AD345" s="74"/>
      <c r="AE345" s="74"/>
      <c r="AF345" s="74"/>
      <c r="AG345" s="74"/>
    </row>
    <row r="346">
      <c r="A346" s="73">
        <v>2022.0</v>
      </c>
      <c r="B346" s="73" t="s">
        <v>400</v>
      </c>
      <c r="C346" s="73">
        <v>26.0</v>
      </c>
      <c r="D346" s="74" t="s">
        <v>243</v>
      </c>
      <c r="E346" s="74" t="s">
        <v>175</v>
      </c>
      <c r="F346" s="74" t="s">
        <v>175</v>
      </c>
      <c r="G346" s="74" t="s">
        <v>1842</v>
      </c>
      <c r="H346" s="74" t="s">
        <v>1845</v>
      </c>
      <c r="I346" s="74" t="s">
        <v>1893</v>
      </c>
      <c r="J346" s="73">
        <v>19.7</v>
      </c>
      <c r="K346" s="73">
        <v>6.0</v>
      </c>
      <c r="L346" s="73">
        <v>3.0</v>
      </c>
      <c r="M346" s="73"/>
      <c r="N346" s="75">
        <v>0.4576388888888889</v>
      </c>
      <c r="O346" s="76" t="s">
        <v>1222</v>
      </c>
      <c r="P346" s="75">
        <v>0.4979166666666666</v>
      </c>
      <c r="T346" s="76" t="s">
        <v>1890</v>
      </c>
      <c r="U346" s="74" t="s">
        <v>1344</v>
      </c>
      <c r="V346" s="74" t="s">
        <v>422</v>
      </c>
      <c r="W346" s="74"/>
      <c r="Y346" s="74"/>
      <c r="Z346" s="74"/>
      <c r="AA346" s="74"/>
      <c r="AB346" s="74"/>
      <c r="AC346" s="74"/>
      <c r="AD346" s="74"/>
      <c r="AE346" s="74"/>
      <c r="AF346" s="74"/>
      <c r="AG346" s="74"/>
    </row>
    <row r="347">
      <c r="A347" s="73">
        <v>2022.0</v>
      </c>
      <c r="B347" s="73" t="s">
        <v>400</v>
      </c>
      <c r="C347" s="73">
        <v>26.0</v>
      </c>
      <c r="D347" s="74" t="s">
        <v>243</v>
      </c>
      <c r="E347" s="74" t="s">
        <v>175</v>
      </c>
      <c r="F347" s="74" t="s">
        <v>175</v>
      </c>
      <c r="G347" s="74" t="s">
        <v>1842</v>
      </c>
      <c r="H347" s="74" t="s">
        <v>1845</v>
      </c>
      <c r="I347" s="74" t="s">
        <v>1893</v>
      </c>
      <c r="J347" s="73">
        <v>19.7</v>
      </c>
      <c r="K347" s="73">
        <v>6.0</v>
      </c>
      <c r="L347" s="73">
        <v>4.0</v>
      </c>
      <c r="M347" s="73"/>
      <c r="N347" s="75">
        <v>0.4979166666666666</v>
      </c>
      <c r="O347" s="76" t="s">
        <v>1890</v>
      </c>
      <c r="P347" s="75">
        <v>0.5541666666666667</v>
      </c>
      <c r="T347" s="76" t="s">
        <v>1896</v>
      </c>
      <c r="U347" s="74" t="s">
        <v>1344</v>
      </c>
      <c r="V347" s="74" t="s">
        <v>422</v>
      </c>
      <c r="W347" s="74"/>
      <c r="Y347" s="74"/>
      <c r="Z347" s="74"/>
      <c r="AA347" s="74"/>
      <c r="AB347" s="74"/>
      <c r="AC347" s="74"/>
      <c r="AD347" s="74"/>
      <c r="AE347" s="74"/>
      <c r="AF347" s="74"/>
      <c r="AG347" s="74"/>
    </row>
    <row r="348">
      <c r="A348" s="73">
        <v>2022.0</v>
      </c>
      <c r="B348" s="73" t="s">
        <v>400</v>
      </c>
      <c r="C348" s="73">
        <v>26.0</v>
      </c>
      <c r="D348" s="74" t="s">
        <v>243</v>
      </c>
      <c r="E348" s="74" t="s">
        <v>175</v>
      </c>
      <c r="F348" s="74" t="s">
        <v>175</v>
      </c>
      <c r="G348" s="74" t="s">
        <v>1842</v>
      </c>
      <c r="H348" s="74" t="s">
        <v>1845</v>
      </c>
      <c r="I348" s="74" t="s">
        <v>1893</v>
      </c>
      <c r="J348" s="73">
        <v>19.7</v>
      </c>
      <c r="K348" s="73">
        <v>6.0</v>
      </c>
      <c r="L348" s="73">
        <v>5.0</v>
      </c>
      <c r="M348" s="73"/>
      <c r="N348" s="75">
        <v>0.5541666666666667</v>
      </c>
      <c r="O348" s="76" t="s">
        <v>1896</v>
      </c>
      <c r="P348" s="75">
        <v>0.5965277777777778</v>
      </c>
      <c r="T348" s="76" t="s">
        <v>266</v>
      </c>
      <c r="U348" s="74" t="s">
        <v>1344</v>
      </c>
      <c r="V348" s="74" t="s">
        <v>422</v>
      </c>
      <c r="W348" s="74"/>
      <c r="Y348" s="74"/>
      <c r="Z348" s="74"/>
      <c r="AA348" s="74"/>
      <c r="AB348" s="74"/>
      <c r="AC348" s="74"/>
      <c r="AD348" s="74"/>
      <c r="AE348" s="74"/>
      <c r="AF348" s="74"/>
      <c r="AG348" s="74"/>
    </row>
    <row r="349">
      <c r="A349" s="73">
        <v>2022.0</v>
      </c>
      <c r="B349" s="73" t="s">
        <v>400</v>
      </c>
      <c r="C349" s="73">
        <v>26.0</v>
      </c>
      <c r="D349" s="74" t="s">
        <v>243</v>
      </c>
      <c r="E349" s="74" t="s">
        <v>175</v>
      </c>
      <c r="F349" s="74" t="s">
        <v>175</v>
      </c>
      <c r="G349" s="74" t="s">
        <v>1842</v>
      </c>
      <c r="H349" s="74" t="s">
        <v>1845</v>
      </c>
      <c r="I349" s="74" t="s">
        <v>1893</v>
      </c>
      <c r="J349" s="73">
        <v>19.7</v>
      </c>
      <c r="K349" s="73">
        <v>6.0</v>
      </c>
      <c r="L349" s="73">
        <v>6.0</v>
      </c>
      <c r="M349" s="73"/>
      <c r="N349" s="75">
        <v>0.5965277777777778</v>
      </c>
      <c r="O349" s="76" t="s">
        <v>266</v>
      </c>
      <c r="P349" s="75">
        <v>0.6395833333333333</v>
      </c>
      <c r="T349" s="76" t="s">
        <v>1897</v>
      </c>
      <c r="U349" s="74" t="s">
        <v>1344</v>
      </c>
      <c r="V349" s="74" t="s">
        <v>376</v>
      </c>
      <c r="W349" s="74"/>
      <c r="Y349" s="74"/>
      <c r="Z349" s="74"/>
      <c r="AA349" s="74"/>
      <c r="AB349" s="74"/>
      <c r="AC349" s="74"/>
      <c r="AD349" s="74"/>
      <c r="AE349" s="74"/>
      <c r="AF349" s="74"/>
      <c r="AG349" s="74"/>
    </row>
    <row r="350">
      <c r="A350" s="73">
        <v>2022.0</v>
      </c>
      <c r="B350" s="73" t="s">
        <v>400</v>
      </c>
      <c r="C350" s="73">
        <v>26.0</v>
      </c>
      <c r="D350" s="74" t="s">
        <v>243</v>
      </c>
      <c r="E350" s="74" t="s">
        <v>175</v>
      </c>
      <c r="F350" s="74" t="s">
        <v>175</v>
      </c>
      <c r="G350" s="74" t="s">
        <v>154</v>
      </c>
      <c r="H350" s="74" t="s">
        <v>1898</v>
      </c>
      <c r="I350" s="74" t="s">
        <v>1899</v>
      </c>
      <c r="J350" s="73">
        <v>19.4</v>
      </c>
      <c r="K350" s="73">
        <v>7.0</v>
      </c>
      <c r="L350" s="73">
        <v>1.0</v>
      </c>
      <c r="M350" s="73"/>
      <c r="N350" s="75">
        <v>0.3756944444444445</v>
      </c>
      <c r="O350" s="76" t="s">
        <v>497</v>
      </c>
      <c r="P350" s="75">
        <v>0.4298611111111111</v>
      </c>
      <c r="T350" s="76" t="s">
        <v>1900</v>
      </c>
      <c r="U350" s="74" t="s">
        <v>287</v>
      </c>
      <c r="V350" s="74" t="s">
        <v>376</v>
      </c>
      <c r="W350" s="74"/>
      <c r="Y350" s="74"/>
      <c r="Z350" s="74"/>
      <c r="AA350" s="74"/>
      <c r="AB350" s="74"/>
      <c r="AC350" s="74"/>
      <c r="AD350" s="74"/>
      <c r="AE350" s="74"/>
      <c r="AF350" s="74"/>
      <c r="AG350" s="74"/>
    </row>
    <row r="351">
      <c r="A351" s="73">
        <v>2022.0</v>
      </c>
      <c r="B351" s="73" t="s">
        <v>400</v>
      </c>
      <c r="C351" s="73">
        <v>26.0</v>
      </c>
      <c r="D351" s="74" t="s">
        <v>243</v>
      </c>
      <c r="E351" s="74" t="s">
        <v>175</v>
      </c>
      <c r="F351" s="74" t="s">
        <v>175</v>
      </c>
      <c r="G351" s="74" t="s">
        <v>154</v>
      </c>
      <c r="H351" s="74" t="s">
        <v>1898</v>
      </c>
      <c r="I351" s="74" t="s">
        <v>1899</v>
      </c>
      <c r="J351" s="73">
        <v>19.4</v>
      </c>
      <c r="K351" s="73">
        <v>7.0</v>
      </c>
      <c r="L351" s="73">
        <v>2.0</v>
      </c>
      <c r="M351" s="73"/>
      <c r="N351" s="75">
        <v>0.4298611111111111</v>
      </c>
      <c r="O351" s="76" t="s">
        <v>1900</v>
      </c>
      <c r="P351" s="75">
        <v>0.4611111111111111</v>
      </c>
      <c r="T351" s="76" t="s">
        <v>1227</v>
      </c>
      <c r="U351" s="74"/>
      <c r="V351" s="74" t="s">
        <v>411</v>
      </c>
      <c r="W351" s="74"/>
      <c r="Y351" s="74"/>
      <c r="Z351" s="74"/>
      <c r="AA351" s="74"/>
      <c r="AB351" s="74"/>
      <c r="AC351" s="74"/>
      <c r="AD351" s="74"/>
      <c r="AE351" s="74"/>
      <c r="AF351" s="74"/>
      <c r="AG351" s="74"/>
    </row>
    <row r="352">
      <c r="A352" s="73">
        <v>2022.0</v>
      </c>
      <c r="B352" s="73" t="s">
        <v>400</v>
      </c>
      <c r="C352" s="73">
        <v>26.0</v>
      </c>
      <c r="D352" s="74" t="s">
        <v>243</v>
      </c>
      <c r="E352" s="74" t="s">
        <v>175</v>
      </c>
      <c r="F352" s="74" t="s">
        <v>175</v>
      </c>
      <c r="G352" s="74" t="s">
        <v>154</v>
      </c>
      <c r="H352" s="74" t="s">
        <v>1898</v>
      </c>
      <c r="I352" s="74" t="s">
        <v>1899</v>
      </c>
      <c r="J352" s="73">
        <v>19.4</v>
      </c>
      <c r="K352" s="73">
        <v>7.0</v>
      </c>
      <c r="L352" s="73">
        <v>3.0</v>
      </c>
      <c r="M352" s="73"/>
      <c r="N352" s="75">
        <v>0.4611111111111111</v>
      </c>
      <c r="O352" s="76" t="s">
        <v>1227</v>
      </c>
      <c r="P352" s="75">
        <v>0.5</v>
      </c>
      <c r="T352" s="76" t="s">
        <v>1901</v>
      </c>
      <c r="U352" s="74" t="s">
        <v>1344</v>
      </c>
      <c r="V352" s="74" t="s">
        <v>411</v>
      </c>
      <c r="W352" s="74"/>
      <c r="Y352" s="74"/>
      <c r="Z352" s="74"/>
      <c r="AA352" s="74"/>
      <c r="AB352" s="74"/>
      <c r="AC352" s="74"/>
      <c r="AD352" s="74"/>
      <c r="AE352" s="74"/>
      <c r="AF352" s="74"/>
      <c r="AG352" s="74"/>
    </row>
    <row r="353">
      <c r="A353" s="73">
        <v>2022.0</v>
      </c>
      <c r="B353" s="73" t="s">
        <v>400</v>
      </c>
      <c r="C353" s="73">
        <v>26.0</v>
      </c>
      <c r="D353" s="74" t="s">
        <v>243</v>
      </c>
      <c r="E353" s="74" t="s">
        <v>175</v>
      </c>
      <c r="F353" s="74" t="s">
        <v>175</v>
      </c>
      <c r="G353" s="74" t="s">
        <v>154</v>
      </c>
      <c r="H353" s="74" t="s">
        <v>1898</v>
      </c>
      <c r="I353" s="74" t="s">
        <v>1899</v>
      </c>
      <c r="J353" s="73">
        <v>19.4</v>
      </c>
      <c r="K353" s="73">
        <v>7.0</v>
      </c>
      <c r="L353" s="73">
        <v>4.0</v>
      </c>
      <c r="M353" s="73"/>
      <c r="N353" s="75">
        <v>0.5</v>
      </c>
      <c r="O353" s="76" t="s">
        <v>1901</v>
      </c>
      <c r="P353" s="75">
        <v>0.5569444444444445</v>
      </c>
      <c r="T353" s="76" t="s">
        <v>1902</v>
      </c>
      <c r="U353" s="74" t="s">
        <v>1344</v>
      </c>
      <c r="V353" s="74" t="s">
        <v>376</v>
      </c>
      <c r="W353" s="74"/>
      <c r="Y353" s="74"/>
      <c r="Z353" s="74"/>
      <c r="AA353" s="74"/>
      <c r="AB353" s="74"/>
      <c r="AC353" s="74"/>
      <c r="AD353" s="74"/>
      <c r="AE353" s="74"/>
      <c r="AF353" s="74"/>
      <c r="AG353" s="74"/>
    </row>
    <row r="354">
      <c r="A354" s="73">
        <v>2022.0</v>
      </c>
      <c r="B354" s="73" t="s">
        <v>400</v>
      </c>
      <c r="C354" s="73">
        <v>26.0</v>
      </c>
      <c r="D354" s="74" t="s">
        <v>243</v>
      </c>
      <c r="E354" s="74" t="s">
        <v>175</v>
      </c>
      <c r="F354" s="74" t="s">
        <v>175</v>
      </c>
      <c r="G354" s="74" t="s">
        <v>154</v>
      </c>
      <c r="H354" s="74" t="s">
        <v>1898</v>
      </c>
      <c r="I354" s="74" t="s">
        <v>1899</v>
      </c>
      <c r="J354" s="73">
        <v>19.4</v>
      </c>
      <c r="K354" s="73">
        <v>7.0</v>
      </c>
      <c r="L354" s="73">
        <v>5.0</v>
      </c>
      <c r="M354" s="73"/>
      <c r="N354" s="75">
        <v>0.5569444444444445</v>
      </c>
      <c r="O354" s="76" t="s">
        <v>1902</v>
      </c>
      <c r="P354" s="75">
        <v>0.5993055555555555</v>
      </c>
      <c r="T354" s="76" t="s">
        <v>1903</v>
      </c>
      <c r="U354" s="74"/>
      <c r="V354" s="74" t="s">
        <v>422</v>
      </c>
      <c r="W354" s="74" t="s">
        <v>1904</v>
      </c>
      <c r="Y354" s="74"/>
      <c r="Z354" s="74"/>
      <c r="AA354" s="74"/>
      <c r="AB354" s="74"/>
      <c r="AC354" s="74"/>
      <c r="AD354" s="74"/>
      <c r="AE354" s="74"/>
      <c r="AF354" s="74"/>
      <c r="AG354" s="74"/>
    </row>
    <row r="355">
      <c r="A355" s="73">
        <v>2022.0</v>
      </c>
      <c r="B355" s="73" t="s">
        <v>400</v>
      </c>
      <c r="C355" s="73">
        <v>26.0</v>
      </c>
      <c r="D355" s="74" t="s">
        <v>243</v>
      </c>
      <c r="E355" s="74" t="s">
        <v>175</v>
      </c>
      <c r="F355" s="74" t="s">
        <v>175</v>
      </c>
      <c r="G355" s="74" t="s">
        <v>154</v>
      </c>
      <c r="H355" s="74" t="s">
        <v>1898</v>
      </c>
      <c r="I355" s="74" t="s">
        <v>1899</v>
      </c>
      <c r="J355" s="73">
        <v>19.4</v>
      </c>
      <c r="K355" s="73">
        <v>7.0</v>
      </c>
      <c r="L355" s="73">
        <v>6.0</v>
      </c>
      <c r="M355" s="73"/>
      <c r="N355" s="75">
        <v>0.5993055555555555</v>
      </c>
      <c r="O355" s="76" t="s">
        <v>1903</v>
      </c>
      <c r="P355" s="75">
        <v>0.6416666666666667</v>
      </c>
      <c r="T355" s="76" t="s">
        <v>1905</v>
      </c>
      <c r="U355" s="74" t="s">
        <v>1344</v>
      </c>
      <c r="V355" s="74" t="s">
        <v>376</v>
      </c>
      <c r="W355" s="74"/>
      <c r="Y355" s="74"/>
      <c r="Z355" s="74"/>
      <c r="AA355" s="74"/>
      <c r="AB355" s="74"/>
      <c r="AC355" s="74"/>
      <c r="AD355" s="74"/>
      <c r="AE355" s="74"/>
      <c r="AF355" s="74"/>
      <c r="AG355" s="74"/>
    </row>
    <row r="356">
      <c r="A356" s="73">
        <v>2022.0</v>
      </c>
      <c r="B356" s="73" t="s">
        <v>400</v>
      </c>
      <c r="C356" s="73">
        <v>27.0</v>
      </c>
      <c r="D356" s="74" t="s">
        <v>243</v>
      </c>
      <c r="E356" s="74" t="s">
        <v>175</v>
      </c>
      <c r="F356" s="74" t="s">
        <v>175</v>
      </c>
      <c r="G356" s="74" t="s">
        <v>154</v>
      </c>
      <c r="H356" s="74" t="s">
        <v>1861</v>
      </c>
      <c r="I356" s="74" t="s">
        <v>1862</v>
      </c>
      <c r="J356" s="73">
        <v>20.1</v>
      </c>
      <c r="K356" s="73">
        <v>1.0</v>
      </c>
      <c r="L356" s="73">
        <v>1.0</v>
      </c>
      <c r="M356" s="73"/>
      <c r="N356" s="75">
        <v>0.3986111111111111</v>
      </c>
      <c r="O356" s="76" t="s">
        <v>1906</v>
      </c>
      <c r="P356" s="75">
        <v>0.44305555555555554</v>
      </c>
      <c r="T356" s="76" t="s">
        <v>1907</v>
      </c>
      <c r="U356" s="74" t="s">
        <v>1344</v>
      </c>
      <c r="V356" s="74" t="s">
        <v>422</v>
      </c>
      <c r="W356" s="74"/>
      <c r="Y356" s="74"/>
      <c r="Z356" s="74"/>
      <c r="AA356" s="74"/>
      <c r="AB356" s="74"/>
      <c r="AC356" s="74"/>
      <c r="AD356" s="74"/>
      <c r="AE356" s="74"/>
      <c r="AF356" s="74"/>
      <c r="AG356" s="74"/>
    </row>
    <row r="357">
      <c r="A357" s="73">
        <v>2022.0</v>
      </c>
      <c r="B357" s="73" t="s">
        <v>400</v>
      </c>
      <c r="C357" s="73">
        <v>27.0</v>
      </c>
      <c r="D357" s="74" t="s">
        <v>243</v>
      </c>
      <c r="E357" s="74" t="s">
        <v>175</v>
      </c>
      <c r="F357" s="74" t="s">
        <v>175</v>
      </c>
      <c r="G357" s="74" t="s">
        <v>154</v>
      </c>
      <c r="H357" s="74" t="s">
        <v>1861</v>
      </c>
      <c r="I357" s="74" t="s">
        <v>1862</v>
      </c>
      <c r="J357" s="73">
        <v>20.1</v>
      </c>
      <c r="K357" s="73">
        <v>1.0</v>
      </c>
      <c r="L357" s="73">
        <v>2.0</v>
      </c>
      <c r="M357" s="73"/>
      <c r="N357" s="75">
        <v>0.44305555555555554</v>
      </c>
      <c r="O357" s="76" t="s">
        <v>1907</v>
      </c>
      <c r="P357" s="75">
        <v>0.4847222222222222</v>
      </c>
      <c r="T357" s="76" t="s">
        <v>607</v>
      </c>
      <c r="U357" s="74" t="s">
        <v>1344</v>
      </c>
      <c r="V357" s="74" t="s">
        <v>1908</v>
      </c>
      <c r="W357" s="74"/>
      <c r="Y357" s="74"/>
      <c r="Z357" s="74"/>
      <c r="AA357" s="74"/>
      <c r="AB357" s="74"/>
      <c r="AC357" s="74"/>
      <c r="AD357" s="74"/>
      <c r="AE357" s="74"/>
      <c r="AF357" s="74"/>
      <c r="AG357" s="74"/>
    </row>
    <row r="358">
      <c r="A358" s="73">
        <v>2022.0</v>
      </c>
      <c r="B358" s="73" t="s">
        <v>400</v>
      </c>
      <c r="C358" s="73">
        <v>27.0</v>
      </c>
      <c r="D358" s="74" t="s">
        <v>243</v>
      </c>
      <c r="E358" s="74" t="s">
        <v>175</v>
      </c>
      <c r="F358" s="74" t="s">
        <v>175</v>
      </c>
      <c r="G358" s="74" t="s">
        <v>154</v>
      </c>
      <c r="H358" s="74" t="s">
        <v>1861</v>
      </c>
      <c r="I358" s="74" t="s">
        <v>1862</v>
      </c>
      <c r="J358" s="73">
        <v>20.1</v>
      </c>
      <c r="K358" s="73">
        <v>1.0</v>
      </c>
      <c r="L358" s="73">
        <v>3.0</v>
      </c>
      <c r="M358" s="73"/>
      <c r="N358" s="75">
        <v>0.4847222222222222</v>
      </c>
      <c r="O358" s="76" t="s">
        <v>607</v>
      </c>
      <c r="P358" s="75">
        <v>0.5243055555555556</v>
      </c>
      <c r="T358" s="76" t="s">
        <v>1481</v>
      </c>
      <c r="U358" s="74" t="s">
        <v>1344</v>
      </c>
      <c r="V358" s="74" t="s">
        <v>411</v>
      </c>
      <c r="W358" s="74"/>
      <c r="Y358" s="74"/>
      <c r="Z358" s="74"/>
      <c r="AA358" s="74"/>
      <c r="AB358" s="74"/>
      <c r="AC358" s="74"/>
      <c r="AD358" s="74"/>
      <c r="AE358" s="74"/>
      <c r="AF358" s="74"/>
      <c r="AG358" s="74"/>
    </row>
    <row r="359">
      <c r="A359" s="73">
        <v>2022.0</v>
      </c>
      <c r="B359" s="73" t="s">
        <v>400</v>
      </c>
      <c r="C359" s="73">
        <v>27.0</v>
      </c>
      <c r="D359" s="74" t="s">
        <v>243</v>
      </c>
      <c r="E359" s="74" t="s">
        <v>175</v>
      </c>
      <c r="F359" s="74" t="s">
        <v>175</v>
      </c>
      <c r="G359" s="74" t="s">
        <v>154</v>
      </c>
      <c r="H359" s="74" t="s">
        <v>1861</v>
      </c>
      <c r="I359" s="74" t="s">
        <v>1862</v>
      </c>
      <c r="J359" s="73">
        <v>20.1</v>
      </c>
      <c r="K359" s="73">
        <v>1.0</v>
      </c>
      <c r="L359" s="73">
        <v>4.0</v>
      </c>
      <c r="M359" s="73"/>
      <c r="N359" s="75">
        <v>0.5243055555555556</v>
      </c>
      <c r="O359" s="76" t="s">
        <v>1481</v>
      </c>
      <c r="P359" s="75">
        <v>0.5923611111111111</v>
      </c>
      <c r="T359" s="76" t="s">
        <v>1909</v>
      </c>
      <c r="U359" s="74" t="s">
        <v>1344</v>
      </c>
      <c r="V359" s="74" t="s">
        <v>376</v>
      </c>
      <c r="W359" s="74"/>
      <c r="Y359" s="74"/>
      <c r="Z359" s="74"/>
      <c r="AA359" s="74"/>
      <c r="AB359" s="74"/>
      <c r="AC359" s="74"/>
      <c r="AD359" s="74"/>
      <c r="AE359" s="74"/>
      <c r="AF359" s="74"/>
      <c r="AG359" s="74"/>
    </row>
    <row r="360">
      <c r="A360" s="73">
        <v>2022.0</v>
      </c>
      <c r="B360" s="73" t="s">
        <v>400</v>
      </c>
      <c r="C360" s="73">
        <v>27.0</v>
      </c>
      <c r="D360" s="74" t="s">
        <v>243</v>
      </c>
      <c r="E360" s="74" t="s">
        <v>175</v>
      </c>
      <c r="F360" s="74" t="s">
        <v>175</v>
      </c>
      <c r="G360" s="74" t="s">
        <v>154</v>
      </c>
      <c r="H360" s="74" t="s">
        <v>1861</v>
      </c>
      <c r="I360" s="74" t="s">
        <v>1862</v>
      </c>
      <c r="J360" s="73">
        <v>20.1</v>
      </c>
      <c r="K360" s="73">
        <v>1.0</v>
      </c>
      <c r="L360" s="73">
        <v>5.0</v>
      </c>
      <c r="M360" s="73"/>
      <c r="N360" s="75">
        <v>0.5923611111111111</v>
      </c>
      <c r="O360" s="76" t="s">
        <v>1909</v>
      </c>
      <c r="P360" s="75">
        <v>0.6347222222222222</v>
      </c>
      <c r="T360" s="76" t="s">
        <v>1330</v>
      </c>
      <c r="U360" s="74"/>
      <c r="V360" s="74" t="s">
        <v>376</v>
      </c>
      <c r="W360" s="74"/>
      <c r="Y360" s="74"/>
      <c r="Z360" s="74"/>
      <c r="AA360" s="74"/>
      <c r="AB360" s="74"/>
      <c r="AC360" s="74"/>
      <c r="AD360" s="74"/>
      <c r="AE360" s="74"/>
      <c r="AF360" s="74"/>
      <c r="AG360" s="74"/>
    </row>
    <row r="361">
      <c r="A361" s="73">
        <v>2022.0</v>
      </c>
      <c r="B361" s="73" t="s">
        <v>400</v>
      </c>
      <c r="C361" s="73">
        <v>27.0</v>
      </c>
      <c r="D361" s="74" t="s">
        <v>243</v>
      </c>
      <c r="E361" s="74" t="s">
        <v>175</v>
      </c>
      <c r="F361" s="74" t="s">
        <v>175</v>
      </c>
      <c r="G361" s="74" t="s">
        <v>1842</v>
      </c>
      <c r="H361" s="74" t="s">
        <v>1867</v>
      </c>
      <c r="I361" s="74" t="s">
        <v>1868</v>
      </c>
      <c r="J361" s="73">
        <v>17.6</v>
      </c>
      <c r="K361" s="73">
        <v>2.0</v>
      </c>
      <c r="L361" s="73">
        <v>1.0</v>
      </c>
      <c r="M361" s="73"/>
      <c r="N361" s="75">
        <v>0.39999999999999997</v>
      </c>
      <c r="O361" s="76" t="s">
        <v>1910</v>
      </c>
      <c r="P361" s="75">
        <v>0.4444444444444444</v>
      </c>
      <c r="T361" s="76" t="s">
        <v>1719</v>
      </c>
      <c r="U361" s="74" t="s">
        <v>1344</v>
      </c>
      <c r="V361" s="74" t="s">
        <v>376</v>
      </c>
      <c r="W361" s="74"/>
      <c r="Y361" s="74"/>
      <c r="Z361" s="74"/>
      <c r="AA361" s="74"/>
      <c r="AB361" s="74"/>
      <c r="AC361" s="74"/>
      <c r="AD361" s="74"/>
      <c r="AE361" s="74"/>
      <c r="AF361" s="74"/>
      <c r="AG361" s="74"/>
    </row>
    <row r="362">
      <c r="A362" s="73">
        <v>2022.0</v>
      </c>
      <c r="B362" s="73" t="s">
        <v>400</v>
      </c>
      <c r="C362" s="73">
        <v>27.0</v>
      </c>
      <c r="D362" s="74" t="s">
        <v>243</v>
      </c>
      <c r="E362" s="74" t="s">
        <v>175</v>
      </c>
      <c r="F362" s="74" t="s">
        <v>175</v>
      </c>
      <c r="G362" s="74" t="s">
        <v>1842</v>
      </c>
      <c r="H362" s="74" t="s">
        <v>1867</v>
      </c>
      <c r="I362" s="74" t="s">
        <v>1868</v>
      </c>
      <c r="J362" s="73">
        <v>17.6</v>
      </c>
      <c r="K362" s="73">
        <v>2.0</v>
      </c>
      <c r="L362" s="73">
        <v>2.0</v>
      </c>
      <c r="M362" s="73"/>
      <c r="N362" s="75">
        <v>0.4444444444444444</v>
      </c>
      <c r="O362" s="76" t="s">
        <v>1719</v>
      </c>
      <c r="P362" s="75">
        <v>0.4993055555555555</v>
      </c>
      <c r="T362" s="76" t="s">
        <v>1847</v>
      </c>
      <c r="U362" s="74"/>
      <c r="V362" s="74" t="s">
        <v>422</v>
      </c>
      <c r="W362" s="74"/>
      <c r="Y362" s="74"/>
      <c r="Z362" s="74"/>
      <c r="AA362" s="74"/>
      <c r="AB362" s="74"/>
      <c r="AC362" s="74"/>
      <c r="AD362" s="74"/>
      <c r="AE362" s="74"/>
      <c r="AF362" s="74"/>
      <c r="AG362" s="74"/>
    </row>
    <row r="363">
      <c r="A363" s="73">
        <v>2022.0</v>
      </c>
      <c r="B363" s="73" t="s">
        <v>400</v>
      </c>
      <c r="C363" s="73">
        <v>27.0</v>
      </c>
      <c r="D363" s="74" t="s">
        <v>243</v>
      </c>
      <c r="E363" s="74" t="s">
        <v>175</v>
      </c>
      <c r="F363" s="74" t="s">
        <v>175</v>
      </c>
      <c r="G363" s="74" t="s">
        <v>1842</v>
      </c>
      <c r="H363" s="74" t="s">
        <v>1867</v>
      </c>
      <c r="I363" s="74" t="s">
        <v>1868</v>
      </c>
      <c r="J363" s="73">
        <v>17.6</v>
      </c>
      <c r="K363" s="73">
        <v>2.0</v>
      </c>
      <c r="L363" s="73">
        <v>3.0</v>
      </c>
      <c r="M363" s="73"/>
      <c r="N363" s="75">
        <v>0.4993055555555555</v>
      </c>
      <c r="O363" s="76" t="s">
        <v>1847</v>
      </c>
      <c r="P363" s="75">
        <v>0.5256944444444445</v>
      </c>
      <c r="T363" s="76" t="s">
        <v>1911</v>
      </c>
      <c r="U363" s="74" t="s">
        <v>1344</v>
      </c>
      <c r="V363" s="74" t="s">
        <v>411</v>
      </c>
      <c r="W363" s="74"/>
      <c r="Y363" s="74"/>
      <c r="Z363" s="74"/>
      <c r="AA363" s="74"/>
      <c r="AB363" s="74"/>
      <c r="AC363" s="74"/>
      <c r="AD363" s="74"/>
      <c r="AE363" s="74"/>
      <c r="AF363" s="74"/>
      <c r="AG363" s="74"/>
    </row>
    <row r="364">
      <c r="A364" s="73">
        <v>2022.0</v>
      </c>
      <c r="B364" s="73" t="s">
        <v>400</v>
      </c>
      <c r="C364" s="73">
        <v>27.0</v>
      </c>
      <c r="D364" s="74" t="s">
        <v>243</v>
      </c>
      <c r="E364" s="74" t="s">
        <v>175</v>
      </c>
      <c r="F364" s="74" t="s">
        <v>175</v>
      </c>
      <c r="G364" s="74" t="s">
        <v>1842</v>
      </c>
      <c r="H364" s="74" t="s">
        <v>1867</v>
      </c>
      <c r="I364" s="74" t="s">
        <v>1868</v>
      </c>
      <c r="J364" s="73">
        <v>17.6</v>
      </c>
      <c r="K364" s="73">
        <v>2.0</v>
      </c>
      <c r="L364" s="73">
        <v>4.0</v>
      </c>
      <c r="M364" s="73"/>
      <c r="N364" s="75">
        <v>0.5256944444444445</v>
      </c>
      <c r="O364" s="76" t="s">
        <v>1911</v>
      </c>
      <c r="P364" s="75">
        <v>0.5930555555555556</v>
      </c>
      <c r="T364" s="76" t="s">
        <v>1801</v>
      </c>
      <c r="U364" s="74" t="s">
        <v>1344</v>
      </c>
      <c r="V364" s="74" t="s">
        <v>1912</v>
      </c>
      <c r="W364" s="74"/>
      <c r="Y364" s="74"/>
      <c r="Z364" s="74"/>
      <c r="AA364" s="74"/>
      <c r="AB364" s="74"/>
      <c r="AC364" s="74"/>
      <c r="AD364" s="74"/>
      <c r="AE364" s="74"/>
      <c r="AF364" s="74"/>
      <c r="AG364" s="74"/>
    </row>
    <row r="365">
      <c r="A365" s="73">
        <v>2022.0</v>
      </c>
      <c r="B365" s="73" t="s">
        <v>400</v>
      </c>
      <c r="C365" s="73">
        <v>27.0</v>
      </c>
      <c r="D365" s="74" t="s">
        <v>243</v>
      </c>
      <c r="E365" s="74" t="s">
        <v>175</v>
      </c>
      <c r="F365" s="74" t="s">
        <v>175</v>
      </c>
      <c r="G365" s="74" t="s">
        <v>1842</v>
      </c>
      <c r="H365" s="74" t="s">
        <v>1867</v>
      </c>
      <c r="I365" s="74" t="s">
        <v>1868</v>
      </c>
      <c r="J365" s="73">
        <v>17.6</v>
      </c>
      <c r="K365" s="73">
        <v>2.0</v>
      </c>
      <c r="L365" s="73">
        <v>5.0</v>
      </c>
      <c r="M365" s="73"/>
      <c r="N365" s="75">
        <v>0.5930555555555556</v>
      </c>
      <c r="O365" s="76" t="s">
        <v>1801</v>
      </c>
      <c r="P365" s="75">
        <v>0.6375000000000001</v>
      </c>
      <c r="T365" s="76" t="s">
        <v>457</v>
      </c>
      <c r="U365" s="74" t="s">
        <v>1344</v>
      </c>
      <c r="V365" s="74" t="s">
        <v>411</v>
      </c>
      <c r="W365" s="74"/>
      <c r="Y365" s="74"/>
      <c r="Z365" s="74"/>
      <c r="AA365" s="74"/>
      <c r="AB365" s="74"/>
      <c r="AC365" s="74"/>
      <c r="AD365" s="74"/>
      <c r="AE365" s="74"/>
      <c r="AF365" s="74"/>
      <c r="AG365" s="74"/>
    </row>
    <row r="366">
      <c r="A366" s="73">
        <v>2022.0</v>
      </c>
      <c r="B366" s="73" t="s">
        <v>400</v>
      </c>
      <c r="C366" s="73">
        <v>27.0</v>
      </c>
      <c r="D366" s="74" t="s">
        <v>243</v>
      </c>
      <c r="E366" s="74" t="s">
        <v>175</v>
      </c>
      <c r="F366" s="74" t="s">
        <v>175</v>
      </c>
      <c r="G366" s="74" t="s">
        <v>154</v>
      </c>
      <c r="H366" s="74" t="s">
        <v>1913</v>
      </c>
      <c r="I366" s="74" t="s">
        <v>1872</v>
      </c>
      <c r="J366" s="73">
        <v>19.6</v>
      </c>
      <c r="K366" s="73">
        <v>3.0</v>
      </c>
      <c r="L366" s="73">
        <v>1.0</v>
      </c>
      <c r="M366" s="73"/>
      <c r="N366" s="75">
        <v>0.40277777777777773</v>
      </c>
      <c r="O366" s="76" t="s">
        <v>1620</v>
      </c>
      <c r="P366" s="75">
        <v>0.4472222222222222</v>
      </c>
      <c r="T366" s="76" t="s">
        <v>265</v>
      </c>
      <c r="U366" s="74" t="s">
        <v>1344</v>
      </c>
      <c r="V366" s="74" t="s">
        <v>376</v>
      </c>
      <c r="W366" s="74"/>
      <c r="Y366" s="74"/>
      <c r="Z366" s="74"/>
      <c r="AA366" s="74"/>
      <c r="AB366" s="74"/>
      <c r="AC366" s="74"/>
      <c r="AD366" s="74"/>
      <c r="AE366" s="74"/>
      <c r="AF366" s="74"/>
      <c r="AG366" s="74"/>
    </row>
    <row r="367">
      <c r="A367" s="73">
        <v>2022.0</v>
      </c>
      <c r="B367" s="73" t="s">
        <v>400</v>
      </c>
      <c r="C367" s="73">
        <v>27.0</v>
      </c>
      <c r="D367" s="74" t="s">
        <v>243</v>
      </c>
      <c r="E367" s="74" t="s">
        <v>175</v>
      </c>
      <c r="F367" s="74" t="s">
        <v>175</v>
      </c>
      <c r="G367" s="74" t="s">
        <v>154</v>
      </c>
      <c r="H367" s="74" t="s">
        <v>1861</v>
      </c>
      <c r="I367" s="74" t="s">
        <v>1862</v>
      </c>
      <c r="J367" s="73">
        <v>19.6</v>
      </c>
      <c r="K367" s="73">
        <v>3.0</v>
      </c>
      <c r="L367" s="73">
        <v>2.0</v>
      </c>
      <c r="M367" s="73"/>
      <c r="N367" s="75">
        <v>0.4472222222222222</v>
      </c>
      <c r="O367" s="76" t="s">
        <v>265</v>
      </c>
      <c r="P367" s="75">
        <v>0.5027777777777778</v>
      </c>
      <c r="T367" s="76" t="s">
        <v>1076</v>
      </c>
      <c r="U367" s="74"/>
      <c r="V367" s="74" t="s">
        <v>422</v>
      </c>
      <c r="W367" s="74"/>
      <c r="Y367" s="74"/>
      <c r="Z367" s="74"/>
      <c r="AA367" s="74"/>
      <c r="AB367" s="74"/>
      <c r="AC367" s="74"/>
      <c r="AD367" s="74"/>
      <c r="AE367" s="74"/>
      <c r="AF367" s="74"/>
      <c r="AG367" s="74"/>
    </row>
    <row r="368">
      <c r="A368" s="73">
        <v>2022.0</v>
      </c>
      <c r="B368" s="73" t="s">
        <v>400</v>
      </c>
      <c r="C368" s="73">
        <v>27.0</v>
      </c>
      <c r="D368" s="74" t="s">
        <v>243</v>
      </c>
      <c r="E368" s="74" t="s">
        <v>175</v>
      </c>
      <c r="F368" s="74" t="s">
        <v>175</v>
      </c>
      <c r="G368" s="74" t="s">
        <v>154</v>
      </c>
      <c r="H368" s="74" t="s">
        <v>1861</v>
      </c>
      <c r="I368" s="74" t="s">
        <v>1862</v>
      </c>
      <c r="J368" s="73">
        <v>19.6</v>
      </c>
      <c r="K368" s="73">
        <v>3.0</v>
      </c>
      <c r="L368" s="73">
        <v>3.0</v>
      </c>
      <c r="M368" s="73"/>
      <c r="N368" s="75">
        <v>0.5027777777777778</v>
      </c>
      <c r="O368" s="76" t="s">
        <v>1076</v>
      </c>
      <c r="P368" s="75">
        <v>0.5291666666666667</v>
      </c>
      <c r="T368" s="76" t="s">
        <v>1540</v>
      </c>
      <c r="U368" s="74" t="s">
        <v>1344</v>
      </c>
      <c r="V368" s="74" t="s">
        <v>411</v>
      </c>
      <c r="W368" s="74"/>
      <c r="Y368" s="74"/>
      <c r="Z368" s="74"/>
      <c r="AA368" s="74"/>
      <c r="AB368" s="74"/>
      <c r="AC368" s="74"/>
      <c r="AD368" s="74"/>
      <c r="AE368" s="74"/>
      <c r="AF368" s="74"/>
      <c r="AG368" s="74"/>
    </row>
    <row r="369">
      <c r="A369" s="73">
        <v>2022.0</v>
      </c>
      <c r="B369" s="73" t="s">
        <v>400</v>
      </c>
      <c r="C369" s="73">
        <v>27.0</v>
      </c>
      <c r="D369" s="74" t="s">
        <v>243</v>
      </c>
      <c r="E369" s="74" t="s">
        <v>175</v>
      </c>
      <c r="F369" s="74" t="s">
        <v>175</v>
      </c>
      <c r="G369" s="74" t="s">
        <v>154</v>
      </c>
      <c r="H369" s="74" t="s">
        <v>1861</v>
      </c>
      <c r="I369" s="74" t="s">
        <v>1862</v>
      </c>
      <c r="J369" s="73">
        <v>19.6</v>
      </c>
      <c r="K369" s="73">
        <v>3.0</v>
      </c>
      <c r="L369" s="73">
        <v>4.0</v>
      </c>
      <c r="M369" s="73"/>
      <c r="N369" s="75">
        <v>0.5291666666666667</v>
      </c>
      <c r="O369" s="76" t="s">
        <v>1540</v>
      </c>
      <c r="P369" s="75">
        <v>0.6138888888888888</v>
      </c>
      <c r="T369" s="76" t="s">
        <v>1660</v>
      </c>
      <c r="U369" s="74" t="s">
        <v>1344</v>
      </c>
      <c r="V369" s="74" t="s">
        <v>411</v>
      </c>
      <c r="W369" s="74"/>
      <c r="Y369" s="74"/>
      <c r="Z369" s="74"/>
      <c r="AA369" s="74"/>
      <c r="AB369" s="74"/>
      <c r="AC369" s="74"/>
      <c r="AD369" s="74"/>
      <c r="AE369" s="74"/>
      <c r="AF369" s="74"/>
      <c r="AG369" s="74"/>
    </row>
    <row r="370">
      <c r="A370" s="73">
        <v>2022.0</v>
      </c>
      <c r="B370" s="73" t="s">
        <v>400</v>
      </c>
      <c r="C370" s="73">
        <v>27.0</v>
      </c>
      <c r="D370" s="74" t="s">
        <v>243</v>
      </c>
      <c r="E370" s="74" t="s">
        <v>175</v>
      </c>
      <c r="F370" s="74" t="s">
        <v>175</v>
      </c>
      <c r="G370" s="74" t="s">
        <v>154</v>
      </c>
      <c r="H370" s="74" t="s">
        <v>1861</v>
      </c>
      <c r="I370" s="74" t="s">
        <v>1862</v>
      </c>
      <c r="J370" s="73">
        <v>19.6</v>
      </c>
      <c r="K370" s="73">
        <v>3.0</v>
      </c>
      <c r="L370" s="73">
        <v>5.0</v>
      </c>
      <c r="M370" s="73"/>
      <c r="N370" s="75">
        <v>0.6138888888888888</v>
      </c>
      <c r="O370" s="76" t="s">
        <v>1660</v>
      </c>
      <c r="P370" s="75">
        <v>0.6395833333333333</v>
      </c>
      <c r="T370" s="76" t="s">
        <v>1897</v>
      </c>
      <c r="U370" s="74" t="s">
        <v>1344</v>
      </c>
      <c r="V370" s="74" t="s">
        <v>376</v>
      </c>
      <c r="W370" s="74"/>
      <c r="Y370" s="74"/>
      <c r="Z370" s="74"/>
      <c r="AA370" s="74"/>
      <c r="AB370" s="74"/>
      <c r="AC370" s="74"/>
      <c r="AD370" s="74"/>
      <c r="AE370" s="74"/>
      <c r="AF370" s="74"/>
      <c r="AG370" s="74"/>
    </row>
    <row r="371">
      <c r="A371" s="73">
        <v>2022.0</v>
      </c>
      <c r="B371" s="73" t="s">
        <v>400</v>
      </c>
      <c r="C371" s="73">
        <v>27.0</v>
      </c>
      <c r="D371" s="74" t="s">
        <v>243</v>
      </c>
      <c r="E371" s="74" t="s">
        <v>175</v>
      </c>
      <c r="F371" s="74" t="s">
        <v>175</v>
      </c>
      <c r="G371" s="74" t="s">
        <v>1842</v>
      </c>
      <c r="H371" s="74" t="s">
        <v>1861</v>
      </c>
      <c r="I371" s="74" t="s">
        <v>1862</v>
      </c>
      <c r="J371" s="73">
        <v>20.4</v>
      </c>
      <c r="K371" s="73">
        <v>4.0</v>
      </c>
      <c r="L371" s="73">
        <v>1.0</v>
      </c>
      <c r="M371" s="73"/>
      <c r="N371" s="75">
        <v>0.4055555555555555</v>
      </c>
      <c r="O371" s="76" t="s">
        <v>1914</v>
      </c>
      <c r="P371" s="75">
        <v>0.4486111111111111</v>
      </c>
      <c r="T371" s="76" t="s">
        <v>1915</v>
      </c>
      <c r="U371" s="74" t="s">
        <v>1344</v>
      </c>
      <c r="V371" s="74" t="s">
        <v>1916</v>
      </c>
      <c r="W371" s="74"/>
      <c r="Y371" s="74"/>
      <c r="Z371" s="74"/>
      <c r="AA371" s="74"/>
      <c r="AB371" s="74"/>
      <c r="AC371" s="74"/>
      <c r="AD371" s="74"/>
      <c r="AE371" s="74"/>
      <c r="AF371" s="74"/>
      <c r="AG371" s="74"/>
    </row>
    <row r="372">
      <c r="A372" s="73">
        <v>2022.0</v>
      </c>
      <c r="B372" s="73" t="s">
        <v>400</v>
      </c>
      <c r="C372" s="73">
        <v>27.0</v>
      </c>
      <c r="D372" s="74" t="s">
        <v>243</v>
      </c>
      <c r="E372" s="74" t="s">
        <v>175</v>
      </c>
      <c r="F372" s="74" t="s">
        <v>175</v>
      </c>
      <c r="G372" s="74" t="s">
        <v>1842</v>
      </c>
      <c r="H372" s="74" t="s">
        <v>1861</v>
      </c>
      <c r="I372" s="74" t="s">
        <v>1862</v>
      </c>
      <c r="J372" s="73">
        <v>20.4</v>
      </c>
      <c r="K372" s="73">
        <v>4.0</v>
      </c>
      <c r="L372" s="73">
        <v>2.0</v>
      </c>
      <c r="M372" s="73"/>
      <c r="N372" s="75">
        <v>0.4486111111111111</v>
      </c>
      <c r="O372" s="76" t="s">
        <v>1915</v>
      </c>
      <c r="P372" s="75">
        <v>0.5041666666666667</v>
      </c>
      <c r="T372" s="76" t="s">
        <v>1857</v>
      </c>
      <c r="U372" s="74" t="s">
        <v>1344</v>
      </c>
      <c r="V372" s="74" t="s">
        <v>411</v>
      </c>
      <c r="W372" s="74"/>
      <c r="Y372" s="74"/>
      <c r="Z372" s="74"/>
      <c r="AA372" s="74"/>
      <c r="AB372" s="74"/>
      <c r="AC372" s="74"/>
      <c r="AD372" s="74"/>
      <c r="AE372" s="74"/>
      <c r="AF372" s="74"/>
      <c r="AG372" s="74"/>
    </row>
    <row r="373">
      <c r="A373" s="73">
        <v>2022.0</v>
      </c>
      <c r="B373" s="73" t="s">
        <v>400</v>
      </c>
      <c r="C373" s="73">
        <v>27.0</v>
      </c>
      <c r="D373" s="74" t="s">
        <v>243</v>
      </c>
      <c r="E373" s="74" t="s">
        <v>175</v>
      </c>
      <c r="F373" s="74" t="s">
        <v>175</v>
      </c>
      <c r="G373" s="74" t="s">
        <v>1842</v>
      </c>
      <c r="H373" s="74" t="s">
        <v>1861</v>
      </c>
      <c r="I373" s="74" t="s">
        <v>1862</v>
      </c>
      <c r="J373" s="73">
        <v>20.4</v>
      </c>
      <c r="K373" s="73">
        <v>4.0</v>
      </c>
      <c r="L373" s="73">
        <v>3.0</v>
      </c>
      <c r="M373" s="73"/>
      <c r="N373" s="75">
        <v>0.5041666666666667</v>
      </c>
      <c r="O373" s="76" t="s">
        <v>1857</v>
      </c>
      <c r="P373" s="75">
        <v>0.5305555555555556</v>
      </c>
      <c r="T373" s="76" t="s">
        <v>1835</v>
      </c>
      <c r="U373" s="74"/>
      <c r="V373" s="74" t="s">
        <v>422</v>
      </c>
      <c r="W373" s="74"/>
      <c r="Y373" s="74"/>
      <c r="Z373" s="74"/>
      <c r="AA373" s="74"/>
      <c r="AB373" s="74"/>
      <c r="AC373" s="74"/>
      <c r="AD373" s="74"/>
      <c r="AE373" s="74"/>
      <c r="AF373" s="74"/>
      <c r="AG373" s="74"/>
    </row>
    <row r="374">
      <c r="A374" s="73">
        <v>2022.0</v>
      </c>
      <c r="B374" s="73" t="s">
        <v>400</v>
      </c>
      <c r="C374" s="73">
        <v>27.0</v>
      </c>
      <c r="D374" s="74" t="s">
        <v>243</v>
      </c>
      <c r="E374" s="74" t="s">
        <v>175</v>
      </c>
      <c r="F374" s="74" t="s">
        <v>175</v>
      </c>
      <c r="G374" s="74" t="s">
        <v>1842</v>
      </c>
      <c r="H374" s="74" t="s">
        <v>1861</v>
      </c>
      <c r="I374" s="74" t="s">
        <v>1862</v>
      </c>
      <c r="J374" s="73">
        <v>20.4</v>
      </c>
      <c r="K374" s="73">
        <v>4.0</v>
      </c>
      <c r="L374" s="73">
        <v>4.0</v>
      </c>
      <c r="M374" s="73"/>
      <c r="N374" s="75">
        <v>0.5305555555555556</v>
      </c>
      <c r="O374" s="76" t="s">
        <v>1835</v>
      </c>
      <c r="P374" s="75">
        <v>0.6138888888888888</v>
      </c>
      <c r="T374" s="76" t="s">
        <v>1660</v>
      </c>
      <c r="U374" s="74" t="s">
        <v>1344</v>
      </c>
      <c r="V374" s="74" t="s">
        <v>411</v>
      </c>
      <c r="W374" s="74"/>
      <c r="Y374" s="74"/>
      <c r="Z374" s="74"/>
      <c r="AA374" s="74"/>
      <c r="AB374" s="74"/>
      <c r="AC374" s="74"/>
      <c r="AD374" s="74"/>
      <c r="AE374" s="74"/>
      <c r="AF374" s="74"/>
      <c r="AG374" s="74"/>
    </row>
    <row r="375">
      <c r="A375" s="73">
        <v>2022.0</v>
      </c>
      <c r="B375" s="73" t="s">
        <v>400</v>
      </c>
      <c r="C375" s="73">
        <v>27.0</v>
      </c>
      <c r="D375" s="74" t="s">
        <v>243</v>
      </c>
      <c r="E375" s="74" t="s">
        <v>175</v>
      </c>
      <c r="F375" s="74" t="s">
        <v>175</v>
      </c>
      <c r="G375" s="74" t="s">
        <v>1842</v>
      </c>
      <c r="H375" s="74" t="s">
        <v>1861</v>
      </c>
      <c r="I375" s="74" t="s">
        <v>1862</v>
      </c>
      <c r="J375" s="73">
        <v>20.4</v>
      </c>
      <c r="K375" s="73">
        <v>4.0</v>
      </c>
      <c r="L375" s="73">
        <v>5.0</v>
      </c>
      <c r="M375" s="73"/>
      <c r="N375" s="75">
        <v>0.6138888888888888</v>
      </c>
      <c r="O375" s="76" t="s">
        <v>1660</v>
      </c>
      <c r="P375" s="75">
        <v>0.6416666666666667</v>
      </c>
      <c r="T375" s="76" t="s">
        <v>1905</v>
      </c>
      <c r="U375" s="74" t="s">
        <v>1344</v>
      </c>
      <c r="V375" s="74" t="s">
        <v>376</v>
      </c>
      <c r="W375" s="74"/>
      <c r="Y375" s="74"/>
      <c r="Z375" s="74"/>
      <c r="AA375" s="74"/>
      <c r="AB375" s="74"/>
      <c r="AC375" s="74"/>
      <c r="AD375" s="74"/>
      <c r="AE375" s="74"/>
      <c r="AF375" s="74"/>
      <c r="AG375" s="74"/>
    </row>
    <row r="376">
      <c r="A376" s="73">
        <v>2022.0</v>
      </c>
      <c r="B376" s="73" t="s">
        <v>400</v>
      </c>
      <c r="C376" s="73">
        <v>27.0</v>
      </c>
      <c r="D376" s="74" t="s">
        <v>243</v>
      </c>
      <c r="E376" s="74" t="s">
        <v>175</v>
      </c>
      <c r="F376" s="74" t="s">
        <v>175</v>
      </c>
      <c r="G376" s="74" t="s">
        <v>154</v>
      </c>
      <c r="H376" s="74" t="s">
        <v>1917</v>
      </c>
      <c r="I376" s="74" t="s">
        <v>1887</v>
      </c>
      <c r="J376" s="73">
        <v>20.1</v>
      </c>
      <c r="K376" s="73">
        <v>5.0</v>
      </c>
      <c r="L376" s="73">
        <v>1.0</v>
      </c>
      <c r="M376" s="73"/>
      <c r="N376" s="75">
        <v>0.4069444444444445</v>
      </c>
      <c r="O376" s="76" t="s">
        <v>1918</v>
      </c>
      <c r="P376" s="75">
        <v>0.4597222222222222</v>
      </c>
      <c r="T376" s="76" t="s">
        <v>586</v>
      </c>
      <c r="U376" s="74" t="s">
        <v>1344</v>
      </c>
      <c r="V376" s="74" t="s">
        <v>422</v>
      </c>
      <c r="W376" s="74"/>
      <c r="Y376" s="74"/>
      <c r="Z376" s="74"/>
      <c r="AA376" s="74"/>
      <c r="AB376" s="74"/>
      <c r="AC376" s="74"/>
      <c r="AD376" s="74"/>
      <c r="AE376" s="74"/>
      <c r="AF376" s="74"/>
      <c r="AG376" s="74"/>
    </row>
    <row r="377">
      <c r="A377" s="73">
        <v>2022.0</v>
      </c>
      <c r="B377" s="73" t="s">
        <v>400</v>
      </c>
      <c r="C377" s="73">
        <v>27.0</v>
      </c>
      <c r="D377" s="74" t="s">
        <v>243</v>
      </c>
      <c r="E377" s="74" t="s">
        <v>175</v>
      </c>
      <c r="F377" s="74" t="s">
        <v>175</v>
      </c>
      <c r="G377" s="74" t="s">
        <v>154</v>
      </c>
      <c r="H377" s="74" t="s">
        <v>1917</v>
      </c>
      <c r="I377" s="74" t="s">
        <v>1887</v>
      </c>
      <c r="J377" s="73">
        <v>20.1</v>
      </c>
      <c r="K377" s="73">
        <v>5.0</v>
      </c>
      <c r="L377" s="73">
        <v>2.0</v>
      </c>
      <c r="M377" s="73"/>
      <c r="N377" s="75">
        <v>0.4597222222222222</v>
      </c>
      <c r="O377" s="76" t="s">
        <v>586</v>
      </c>
      <c r="P377" s="75">
        <v>0.5069444444444444</v>
      </c>
      <c r="T377" s="76" t="s">
        <v>235</v>
      </c>
      <c r="U377" s="74" t="s">
        <v>1344</v>
      </c>
      <c r="V377" s="74" t="s">
        <v>422</v>
      </c>
      <c r="W377" s="74"/>
      <c r="Y377" s="74"/>
      <c r="Z377" s="74"/>
      <c r="AA377" s="74"/>
      <c r="AB377" s="74"/>
      <c r="AC377" s="74"/>
      <c r="AD377" s="74"/>
      <c r="AE377" s="74"/>
      <c r="AF377" s="74"/>
      <c r="AG377" s="74"/>
    </row>
    <row r="378">
      <c r="A378" s="73">
        <v>2022.0</v>
      </c>
      <c r="B378" s="73" t="s">
        <v>400</v>
      </c>
      <c r="C378" s="73">
        <v>27.0</v>
      </c>
      <c r="D378" s="74" t="s">
        <v>243</v>
      </c>
      <c r="E378" s="74" t="s">
        <v>175</v>
      </c>
      <c r="F378" s="74" t="s">
        <v>175</v>
      </c>
      <c r="G378" s="74" t="s">
        <v>154</v>
      </c>
      <c r="H378" s="74" t="s">
        <v>1917</v>
      </c>
      <c r="I378" s="74" t="s">
        <v>1887</v>
      </c>
      <c r="J378" s="73">
        <v>20.1</v>
      </c>
      <c r="K378" s="73">
        <v>5.0</v>
      </c>
      <c r="L378" s="73">
        <v>3.0</v>
      </c>
      <c r="M378" s="73"/>
      <c r="N378" s="75">
        <v>0.5069444444444444</v>
      </c>
      <c r="O378" s="76" t="s">
        <v>235</v>
      </c>
      <c r="P378" s="75">
        <v>0.5333333333333333</v>
      </c>
      <c r="T378" s="76" t="s">
        <v>1749</v>
      </c>
      <c r="U378" s="74" t="s">
        <v>1344</v>
      </c>
      <c r="V378" s="74" t="s">
        <v>376</v>
      </c>
      <c r="W378" s="74"/>
      <c r="Y378" s="74"/>
      <c r="Z378" s="74"/>
      <c r="AA378" s="74"/>
      <c r="AB378" s="74"/>
      <c r="AC378" s="74"/>
      <c r="AD378" s="74"/>
      <c r="AE378" s="74"/>
      <c r="AF378" s="74"/>
      <c r="AG378" s="74"/>
    </row>
    <row r="379">
      <c r="A379" s="73">
        <v>2022.0</v>
      </c>
      <c r="B379" s="73" t="s">
        <v>400</v>
      </c>
      <c r="C379" s="73">
        <v>27.0</v>
      </c>
      <c r="D379" s="74" t="s">
        <v>243</v>
      </c>
      <c r="E379" s="74" t="s">
        <v>175</v>
      </c>
      <c r="F379" s="74" t="s">
        <v>175</v>
      </c>
      <c r="G379" s="74" t="s">
        <v>154</v>
      </c>
      <c r="H379" s="74" t="s">
        <v>1917</v>
      </c>
      <c r="I379" s="74" t="s">
        <v>1887</v>
      </c>
      <c r="J379" s="73">
        <v>20.1</v>
      </c>
      <c r="K379" s="73">
        <v>5.0</v>
      </c>
      <c r="L379" s="73">
        <v>4.0</v>
      </c>
      <c r="M379" s="73"/>
      <c r="N379" s="75">
        <v>0.5333333333333333</v>
      </c>
      <c r="O379" s="76" t="s">
        <v>1749</v>
      </c>
      <c r="P379" s="75">
        <v>0.6180555555555556</v>
      </c>
      <c r="T379" s="76" t="s">
        <v>1472</v>
      </c>
      <c r="U379" s="74"/>
      <c r="V379" s="74" t="s">
        <v>422</v>
      </c>
      <c r="W379" s="74"/>
      <c r="Y379" s="74"/>
      <c r="Z379" s="74"/>
      <c r="AA379" s="74"/>
      <c r="AB379" s="74"/>
      <c r="AC379" s="74"/>
      <c r="AD379" s="74"/>
      <c r="AE379" s="74"/>
      <c r="AF379" s="74"/>
      <c r="AG379" s="74"/>
    </row>
    <row r="380">
      <c r="A380" s="73">
        <v>2022.0</v>
      </c>
      <c r="B380" s="73" t="s">
        <v>400</v>
      </c>
      <c r="C380" s="73">
        <v>27.0</v>
      </c>
      <c r="D380" s="74" t="s">
        <v>243</v>
      </c>
      <c r="E380" s="74" t="s">
        <v>175</v>
      </c>
      <c r="F380" s="74" t="s">
        <v>175</v>
      </c>
      <c r="G380" s="74" t="s">
        <v>154</v>
      </c>
      <c r="H380" s="74" t="s">
        <v>1917</v>
      </c>
      <c r="I380" s="74" t="s">
        <v>1887</v>
      </c>
      <c r="J380" s="73">
        <v>20.1</v>
      </c>
      <c r="K380" s="73">
        <v>5.0</v>
      </c>
      <c r="L380" s="73">
        <v>5.0</v>
      </c>
      <c r="M380" s="73"/>
      <c r="N380" s="75">
        <v>0.6180555555555556</v>
      </c>
      <c r="O380" s="76" t="s">
        <v>1472</v>
      </c>
      <c r="P380" s="75">
        <v>0.6430555555555556</v>
      </c>
      <c r="T380" s="76" t="s">
        <v>1568</v>
      </c>
      <c r="U380" s="74" t="s">
        <v>1344</v>
      </c>
      <c r="V380" s="74" t="s">
        <v>422</v>
      </c>
      <c r="W380" s="74"/>
      <c r="Y380" s="74"/>
      <c r="Z380" s="74"/>
      <c r="AA380" s="74"/>
      <c r="AB380" s="74"/>
      <c r="AC380" s="74"/>
      <c r="AD380" s="74"/>
      <c r="AE380" s="74"/>
      <c r="AF380" s="74"/>
      <c r="AG380" s="74"/>
    </row>
    <row r="381">
      <c r="A381" s="73">
        <v>2022.0</v>
      </c>
      <c r="B381" s="73" t="s">
        <v>400</v>
      </c>
      <c r="C381" s="73">
        <v>27.0</v>
      </c>
      <c r="D381" s="74" t="s">
        <v>243</v>
      </c>
      <c r="E381" s="74" t="s">
        <v>175</v>
      </c>
      <c r="F381" s="74" t="s">
        <v>175</v>
      </c>
      <c r="G381" s="74" t="s">
        <v>154</v>
      </c>
      <c r="H381" s="74" t="s">
        <v>1919</v>
      </c>
      <c r="I381" s="74" t="s">
        <v>1920</v>
      </c>
      <c r="J381" s="73">
        <v>19.3</v>
      </c>
      <c r="K381" s="73">
        <v>6.0</v>
      </c>
      <c r="L381" s="73">
        <v>1.0</v>
      </c>
      <c r="M381" s="73"/>
      <c r="N381" s="75">
        <v>0.41111111111111115</v>
      </c>
      <c r="O381" s="76" t="s">
        <v>1873</v>
      </c>
      <c r="P381" s="75">
        <v>0.4611111111111111</v>
      </c>
      <c r="T381" s="76" t="s">
        <v>1227</v>
      </c>
      <c r="U381" s="74" t="s">
        <v>1344</v>
      </c>
      <c r="V381" s="74" t="s">
        <v>376</v>
      </c>
      <c r="W381" s="74"/>
      <c r="Y381" s="74"/>
      <c r="Z381" s="74"/>
      <c r="AA381" s="74"/>
      <c r="AB381" s="74"/>
      <c r="AC381" s="74"/>
      <c r="AD381" s="74"/>
      <c r="AE381" s="74"/>
      <c r="AF381" s="74"/>
      <c r="AG381" s="74"/>
    </row>
    <row r="382">
      <c r="A382" s="73">
        <v>2022.0</v>
      </c>
      <c r="B382" s="73" t="s">
        <v>400</v>
      </c>
      <c r="C382" s="73">
        <v>27.0</v>
      </c>
      <c r="D382" s="74" t="s">
        <v>243</v>
      </c>
      <c r="E382" s="74" t="s">
        <v>175</v>
      </c>
      <c r="F382" s="74" t="s">
        <v>175</v>
      </c>
      <c r="G382" s="74" t="s">
        <v>154</v>
      </c>
      <c r="H382" s="74" t="s">
        <v>1919</v>
      </c>
      <c r="I382" s="74" t="s">
        <v>1920</v>
      </c>
      <c r="J382" s="73">
        <v>19.3</v>
      </c>
      <c r="K382" s="73">
        <v>6.0</v>
      </c>
      <c r="L382" s="73">
        <v>2.0</v>
      </c>
      <c r="M382" s="73"/>
      <c r="N382" s="75">
        <v>0.4611111111111111</v>
      </c>
      <c r="O382" s="76" t="s">
        <v>1227</v>
      </c>
      <c r="P382" s="75">
        <v>0.5090277777777777</v>
      </c>
      <c r="T382" s="76" t="s">
        <v>1921</v>
      </c>
      <c r="U382" s="74"/>
      <c r="V382" s="74" t="s">
        <v>411</v>
      </c>
      <c r="W382" s="74"/>
      <c r="Y382" s="74"/>
      <c r="Z382" s="74"/>
      <c r="AA382" s="74"/>
      <c r="AB382" s="74"/>
      <c r="AC382" s="74"/>
      <c r="AD382" s="74"/>
      <c r="AE382" s="74"/>
      <c r="AF382" s="74"/>
      <c r="AG382" s="74"/>
    </row>
    <row r="383">
      <c r="A383" s="73">
        <v>2022.0</v>
      </c>
      <c r="B383" s="73" t="s">
        <v>400</v>
      </c>
      <c r="C383" s="73">
        <v>27.0</v>
      </c>
      <c r="D383" s="74" t="s">
        <v>243</v>
      </c>
      <c r="E383" s="74" t="s">
        <v>175</v>
      </c>
      <c r="F383" s="74" t="s">
        <v>175</v>
      </c>
      <c r="G383" s="74" t="s">
        <v>154</v>
      </c>
      <c r="H383" s="74" t="s">
        <v>1919</v>
      </c>
      <c r="I383" s="74" t="s">
        <v>1920</v>
      </c>
      <c r="J383" s="73">
        <v>19.3</v>
      </c>
      <c r="K383" s="73">
        <v>6.0</v>
      </c>
      <c r="L383" s="73">
        <v>3.0</v>
      </c>
      <c r="M383" s="73"/>
      <c r="N383" s="75">
        <v>0.5090277777777777</v>
      </c>
      <c r="O383" s="76" t="s">
        <v>1921</v>
      </c>
      <c r="P383" s="75">
        <v>0.5347222222222222</v>
      </c>
      <c r="T383" s="76" t="s">
        <v>1922</v>
      </c>
      <c r="U383" s="74" t="s">
        <v>1344</v>
      </c>
      <c r="V383" s="74" t="s">
        <v>376</v>
      </c>
      <c r="W383" s="74"/>
      <c r="Y383" s="74"/>
      <c r="Z383" s="74"/>
      <c r="AA383" s="74"/>
      <c r="AB383" s="74"/>
      <c r="AC383" s="74"/>
      <c r="AD383" s="74"/>
      <c r="AE383" s="74"/>
      <c r="AF383" s="74"/>
      <c r="AG383" s="74"/>
    </row>
    <row r="384">
      <c r="A384" s="73">
        <v>2022.0</v>
      </c>
      <c r="B384" s="73" t="s">
        <v>400</v>
      </c>
      <c r="C384" s="73">
        <v>27.0</v>
      </c>
      <c r="D384" s="74" t="s">
        <v>243</v>
      </c>
      <c r="E384" s="74" t="s">
        <v>175</v>
      </c>
      <c r="F384" s="74" t="s">
        <v>175</v>
      </c>
      <c r="G384" s="74" t="s">
        <v>154</v>
      </c>
      <c r="H384" s="74" t="s">
        <v>1919</v>
      </c>
      <c r="I384" s="74" t="s">
        <v>1920</v>
      </c>
      <c r="J384" s="73">
        <v>19.3</v>
      </c>
      <c r="K384" s="73">
        <v>6.0</v>
      </c>
      <c r="L384" s="73">
        <v>4.0</v>
      </c>
      <c r="M384" s="73"/>
      <c r="N384" s="75">
        <v>0.5347222222222222</v>
      </c>
      <c r="O384" s="76" t="s">
        <v>1922</v>
      </c>
      <c r="P384" s="75">
        <v>0.6208333333333333</v>
      </c>
      <c r="T384" s="76" t="s">
        <v>1923</v>
      </c>
      <c r="U384" s="74"/>
      <c r="V384" s="74"/>
      <c r="W384" s="74"/>
      <c r="Y384" s="74"/>
      <c r="Z384" s="74"/>
      <c r="AA384" s="74"/>
      <c r="AB384" s="74"/>
      <c r="AC384" s="74"/>
      <c r="AD384" s="74"/>
      <c r="AE384" s="74"/>
      <c r="AF384" s="74"/>
      <c r="AG384" s="74"/>
    </row>
    <row r="385">
      <c r="A385" s="73">
        <v>2022.0</v>
      </c>
      <c r="B385" s="73" t="s">
        <v>400</v>
      </c>
      <c r="C385" s="73">
        <v>27.0</v>
      </c>
      <c r="D385" s="74" t="s">
        <v>243</v>
      </c>
      <c r="E385" s="74" t="s">
        <v>175</v>
      </c>
      <c r="F385" s="74" t="s">
        <v>175</v>
      </c>
      <c r="G385" s="74" t="s">
        <v>154</v>
      </c>
      <c r="H385" s="74" t="s">
        <v>1919</v>
      </c>
      <c r="I385" s="74" t="s">
        <v>1920</v>
      </c>
      <c r="J385" s="73">
        <v>19.3</v>
      </c>
      <c r="K385" s="73">
        <v>6.0</v>
      </c>
      <c r="L385" s="73">
        <v>5.0</v>
      </c>
      <c r="M385" s="73"/>
      <c r="N385" s="75">
        <v>0.6208333333333333</v>
      </c>
      <c r="O385" s="76" t="s">
        <v>1923</v>
      </c>
      <c r="P385" s="75">
        <v>0.6444444444444445</v>
      </c>
      <c r="T385" s="76" t="s">
        <v>481</v>
      </c>
      <c r="U385" s="74" t="s">
        <v>1344</v>
      </c>
      <c r="V385" s="74" t="s">
        <v>376</v>
      </c>
      <c r="W385" s="74"/>
      <c r="Y385" s="74"/>
      <c r="Z385" s="74"/>
      <c r="AA385" s="74"/>
      <c r="AB385" s="74"/>
      <c r="AC385" s="74"/>
      <c r="AD385" s="74"/>
      <c r="AE385" s="74"/>
      <c r="AF385" s="74"/>
      <c r="AG385" s="74"/>
    </row>
    <row r="386">
      <c r="A386" s="73">
        <v>2022.0</v>
      </c>
      <c r="B386" s="73" t="s">
        <v>400</v>
      </c>
      <c r="C386" s="73">
        <v>27.0</v>
      </c>
      <c r="D386" s="74" t="s">
        <v>243</v>
      </c>
      <c r="E386" s="74" t="s">
        <v>175</v>
      </c>
      <c r="F386" s="74" t="s">
        <v>175</v>
      </c>
      <c r="G386" s="74" t="s">
        <v>154</v>
      </c>
      <c r="H386" s="74" t="s">
        <v>1924</v>
      </c>
      <c r="I386" s="74" t="s">
        <v>1925</v>
      </c>
      <c r="J386" s="73">
        <v>19.2</v>
      </c>
      <c r="K386" s="73">
        <v>7.0</v>
      </c>
      <c r="L386" s="73">
        <v>1.0</v>
      </c>
      <c r="M386" s="73"/>
      <c r="N386" s="75">
        <v>0.4131944444444444</v>
      </c>
      <c r="O386" s="76" t="s">
        <v>1926</v>
      </c>
      <c r="P386" s="75">
        <v>0.46458333333333335</v>
      </c>
      <c r="T386" s="76" t="s">
        <v>1605</v>
      </c>
      <c r="U386" s="74" t="s">
        <v>1344</v>
      </c>
      <c r="V386" s="74" t="s">
        <v>422</v>
      </c>
      <c r="W386" s="74"/>
      <c r="Y386" s="74"/>
      <c r="Z386" s="74"/>
      <c r="AA386" s="74"/>
      <c r="AB386" s="74"/>
      <c r="AC386" s="74"/>
      <c r="AD386" s="74"/>
      <c r="AE386" s="74"/>
      <c r="AF386" s="74"/>
      <c r="AG386" s="74"/>
    </row>
    <row r="387">
      <c r="A387" s="73">
        <v>2022.0</v>
      </c>
      <c r="B387" s="73" t="s">
        <v>400</v>
      </c>
      <c r="C387" s="73">
        <v>27.0</v>
      </c>
      <c r="D387" s="74" t="s">
        <v>243</v>
      </c>
      <c r="E387" s="74" t="s">
        <v>175</v>
      </c>
      <c r="F387" s="74" t="s">
        <v>175</v>
      </c>
      <c r="G387" s="74" t="s">
        <v>154</v>
      </c>
      <c r="H387" s="74" t="s">
        <v>1924</v>
      </c>
      <c r="I387" s="74" t="s">
        <v>1925</v>
      </c>
      <c r="J387" s="73">
        <v>19.2</v>
      </c>
      <c r="K387" s="73">
        <v>7.0</v>
      </c>
      <c r="L387" s="73">
        <v>2.0</v>
      </c>
      <c r="M387" s="73"/>
      <c r="N387" s="75">
        <v>0.46458333333333335</v>
      </c>
      <c r="O387" s="76" t="s">
        <v>1605</v>
      </c>
      <c r="P387" s="75">
        <v>0.5125000000000001</v>
      </c>
      <c r="T387" s="76" t="s">
        <v>1092</v>
      </c>
      <c r="U387" s="74" t="s">
        <v>1344</v>
      </c>
      <c r="V387" s="74" t="s">
        <v>411</v>
      </c>
      <c r="W387" s="74"/>
      <c r="Y387" s="74"/>
      <c r="Z387" s="74"/>
      <c r="AA387" s="74"/>
      <c r="AB387" s="74"/>
      <c r="AC387" s="74"/>
      <c r="AD387" s="74"/>
      <c r="AE387" s="74"/>
      <c r="AF387" s="74"/>
      <c r="AG387" s="74"/>
    </row>
    <row r="388">
      <c r="A388" s="73">
        <v>2022.0</v>
      </c>
      <c r="B388" s="73" t="s">
        <v>400</v>
      </c>
      <c r="C388" s="73">
        <v>27.0</v>
      </c>
      <c r="D388" s="74" t="s">
        <v>243</v>
      </c>
      <c r="E388" s="74" t="s">
        <v>175</v>
      </c>
      <c r="F388" s="74" t="s">
        <v>175</v>
      </c>
      <c r="G388" s="74" t="s">
        <v>154</v>
      </c>
      <c r="H388" s="74" t="s">
        <v>1924</v>
      </c>
      <c r="I388" s="74" t="s">
        <v>1925</v>
      </c>
      <c r="J388" s="73">
        <v>19.2</v>
      </c>
      <c r="K388" s="73">
        <v>7.0</v>
      </c>
      <c r="L388" s="73">
        <v>3.0</v>
      </c>
      <c r="M388" s="73"/>
      <c r="N388" s="75">
        <v>0.5125000000000001</v>
      </c>
      <c r="O388" s="76" t="s">
        <v>1092</v>
      </c>
      <c r="P388" s="75">
        <v>0.5361111111111111</v>
      </c>
      <c r="T388" s="76" t="s">
        <v>1558</v>
      </c>
      <c r="U388" s="74" t="s">
        <v>1344</v>
      </c>
      <c r="V388" s="74" t="s">
        <v>376</v>
      </c>
      <c r="W388" s="74"/>
      <c r="Y388" s="74"/>
      <c r="Z388" s="74"/>
      <c r="AA388" s="74"/>
      <c r="AB388" s="74"/>
      <c r="AC388" s="74"/>
      <c r="AD388" s="74"/>
      <c r="AE388" s="74"/>
      <c r="AF388" s="74"/>
      <c r="AG388" s="74"/>
    </row>
    <row r="389">
      <c r="A389" s="73">
        <v>2022.0</v>
      </c>
      <c r="B389" s="73" t="s">
        <v>400</v>
      </c>
      <c r="C389" s="73">
        <v>27.0</v>
      </c>
      <c r="D389" s="74" t="s">
        <v>243</v>
      </c>
      <c r="E389" s="74" t="s">
        <v>175</v>
      </c>
      <c r="F389" s="74" t="s">
        <v>175</v>
      </c>
      <c r="G389" s="74" t="s">
        <v>154</v>
      </c>
      <c r="H389" s="74" t="s">
        <v>1924</v>
      </c>
      <c r="I389" s="74" t="s">
        <v>1925</v>
      </c>
      <c r="J389" s="73">
        <v>19.2</v>
      </c>
      <c r="K389" s="73">
        <v>7.0</v>
      </c>
      <c r="L389" s="73">
        <v>4.0</v>
      </c>
      <c r="M389" s="73"/>
      <c r="N389" s="75">
        <v>0.5361111111111111</v>
      </c>
      <c r="O389" s="76" t="s">
        <v>1558</v>
      </c>
      <c r="P389" s="75">
        <v>0.6229166666666667</v>
      </c>
      <c r="T389" s="76" t="s">
        <v>1682</v>
      </c>
      <c r="U389" s="74"/>
      <c r="V389" s="74" t="s">
        <v>376</v>
      </c>
      <c r="W389" s="74"/>
      <c r="Y389" s="74"/>
      <c r="Z389" s="74"/>
      <c r="AA389" s="74"/>
      <c r="AB389" s="74"/>
      <c r="AC389" s="74"/>
      <c r="AD389" s="74"/>
      <c r="AE389" s="74"/>
      <c r="AF389" s="74"/>
      <c r="AG389" s="74"/>
    </row>
    <row r="390">
      <c r="A390" s="73">
        <v>2022.0</v>
      </c>
      <c r="B390" s="73" t="s">
        <v>400</v>
      </c>
      <c r="C390" s="73">
        <v>27.0</v>
      </c>
      <c r="D390" s="74" t="s">
        <v>243</v>
      </c>
      <c r="E390" s="74" t="s">
        <v>175</v>
      </c>
      <c r="F390" s="74" t="s">
        <v>175</v>
      </c>
      <c r="G390" s="74" t="s">
        <v>154</v>
      </c>
      <c r="H390" s="74" t="s">
        <v>1924</v>
      </c>
      <c r="I390" s="74" t="s">
        <v>1925</v>
      </c>
      <c r="J390" s="73">
        <v>19.2</v>
      </c>
      <c r="K390" s="73">
        <v>7.0</v>
      </c>
      <c r="L390" s="73">
        <v>5.0</v>
      </c>
      <c r="M390" s="73"/>
      <c r="N390" s="75">
        <v>0.6229166666666667</v>
      </c>
      <c r="O390" s="76" t="s">
        <v>1682</v>
      </c>
      <c r="P390" s="75">
        <v>0.6465277777777778</v>
      </c>
      <c r="T390" s="76" t="s">
        <v>750</v>
      </c>
      <c r="U390" s="74"/>
      <c r="V390" s="74" t="s">
        <v>376</v>
      </c>
      <c r="W390" s="74"/>
      <c r="Y390" s="74"/>
      <c r="Z390" s="74"/>
      <c r="AA390" s="74"/>
      <c r="AB390" s="74"/>
      <c r="AC390" s="74"/>
      <c r="AD390" s="74"/>
      <c r="AE390" s="74"/>
      <c r="AF390" s="74"/>
      <c r="AG390" s="74"/>
    </row>
    <row r="391">
      <c r="A391" s="73">
        <v>2022.0</v>
      </c>
      <c r="B391" s="73" t="s">
        <v>400</v>
      </c>
      <c r="C391" s="73">
        <v>28.0</v>
      </c>
      <c r="D391" s="74" t="s">
        <v>243</v>
      </c>
      <c r="E391" s="74" t="s">
        <v>175</v>
      </c>
      <c r="F391" s="74" t="s">
        <v>175</v>
      </c>
      <c r="G391" s="74" t="s">
        <v>154</v>
      </c>
      <c r="H391" s="74" t="s">
        <v>1927</v>
      </c>
      <c r="I391" s="74" t="s">
        <v>1928</v>
      </c>
      <c r="J391" s="73">
        <v>18.5</v>
      </c>
      <c r="K391" s="73">
        <v>1.0</v>
      </c>
      <c r="L391" s="73">
        <v>1.0</v>
      </c>
      <c r="M391" s="73"/>
      <c r="N391" s="75">
        <v>0.3645833333333333</v>
      </c>
      <c r="O391" s="76" t="s">
        <v>1869</v>
      </c>
      <c r="P391" s="75">
        <v>0.4055555555555555</v>
      </c>
      <c r="T391" s="76" t="s">
        <v>1914</v>
      </c>
      <c r="U391" s="74" t="s">
        <v>287</v>
      </c>
      <c r="V391" s="74" t="s">
        <v>376</v>
      </c>
      <c r="W391" s="74"/>
      <c r="Y391" s="74"/>
      <c r="Z391" s="74"/>
      <c r="AA391" s="74"/>
      <c r="AB391" s="74"/>
      <c r="AC391" s="74"/>
      <c r="AD391" s="74"/>
      <c r="AE391" s="74"/>
      <c r="AF391" s="74"/>
      <c r="AG391" s="74"/>
    </row>
    <row r="392">
      <c r="A392" s="73">
        <v>2022.0</v>
      </c>
      <c r="B392" s="73" t="s">
        <v>400</v>
      </c>
      <c r="C392" s="73">
        <v>28.0</v>
      </c>
      <c r="D392" s="74" t="s">
        <v>243</v>
      </c>
      <c r="E392" s="74" t="s">
        <v>175</v>
      </c>
      <c r="F392" s="74" t="s">
        <v>175</v>
      </c>
      <c r="G392" s="74" t="s">
        <v>154</v>
      </c>
      <c r="H392" s="74" t="s">
        <v>1927</v>
      </c>
      <c r="I392" s="74" t="s">
        <v>1928</v>
      </c>
      <c r="J392" s="73">
        <v>18.5</v>
      </c>
      <c r="K392" s="73">
        <v>1.0</v>
      </c>
      <c r="L392" s="73">
        <v>2.0</v>
      </c>
      <c r="M392" s="73"/>
      <c r="N392" s="75">
        <v>0.4055555555555555</v>
      </c>
      <c r="O392" s="76" t="s">
        <v>1914</v>
      </c>
      <c r="P392" s="75">
        <v>0.4701388888888889</v>
      </c>
      <c r="T392" s="76" t="s">
        <v>187</v>
      </c>
      <c r="U392" s="74"/>
      <c r="V392" s="74" t="s">
        <v>376</v>
      </c>
      <c r="W392" s="74"/>
      <c r="Y392" s="74"/>
      <c r="Z392" s="74"/>
      <c r="AA392" s="74"/>
      <c r="AB392" s="74"/>
      <c r="AC392" s="74"/>
      <c r="AD392" s="74"/>
      <c r="AE392" s="74"/>
      <c r="AF392" s="74"/>
      <c r="AG392" s="74"/>
    </row>
    <row r="393">
      <c r="A393" s="73">
        <v>2022.0</v>
      </c>
      <c r="B393" s="73" t="s">
        <v>400</v>
      </c>
      <c r="C393" s="73">
        <v>28.0</v>
      </c>
      <c r="D393" s="74" t="s">
        <v>243</v>
      </c>
      <c r="E393" s="74" t="s">
        <v>175</v>
      </c>
      <c r="F393" s="74" t="s">
        <v>175</v>
      </c>
      <c r="G393" s="74" t="s">
        <v>154</v>
      </c>
      <c r="H393" s="74" t="s">
        <v>1927</v>
      </c>
      <c r="I393" s="74" t="s">
        <v>1928</v>
      </c>
      <c r="J393" s="73">
        <v>18.5</v>
      </c>
      <c r="K393" s="73">
        <v>1.0</v>
      </c>
      <c r="L393" s="73">
        <v>3.0</v>
      </c>
      <c r="M393" s="73"/>
      <c r="N393" s="75">
        <v>0.4701388888888889</v>
      </c>
      <c r="O393" s="76" t="s">
        <v>187</v>
      </c>
      <c r="P393" s="75">
        <v>0.49722222222222223</v>
      </c>
      <c r="T393" s="76" t="s">
        <v>1822</v>
      </c>
      <c r="U393" s="74"/>
      <c r="V393" s="74" t="s">
        <v>376</v>
      </c>
      <c r="W393" s="74"/>
      <c r="Y393" s="74"/>
      <c r="Z393" s="74"/>
      <c r="AA393" s="74"/>
      <c r="AB393" s="74"/>
      <c r="AC393" s="74"/>
      <c r="AD393" s="74"/>
      <c r="AE393" s="74"/>
      <c r="AF393" s="74"/>
      <c r="AG393" s="74"/>
    </row>
    <row r="394">
      <c r="A394" s="73">
        <v>2022.0</v>
      </c>
      <c r="B394" s="73" t="s">
        <v>400</v>
      </c>
      <c r="C394" s="73">
        <v>28.0</v>
      </c>
      <c r="D394" s="74" t="s">
        <v>243</v>
      </c>
      <c r="E394" s="74" t="s">
        <v>175</v>
      </c>
      <c r="F394" s="74" t="s">
        <v>175</v>
      </c>
      <c r="G394" s="74" t="s">
        <v>154</v>
      </c>
      <c r="H394" s="74" t="s">
        <v>1927</v>
      </c>
      <c r="I394" s="74" t="s">
        <v>1928</v>
      </c>
      <c r="J394" s="73">
        <v>18.5</v>
      </c>
      <c r="K394" s="73">
        <v>1.0</v>
      </c>
      <c r="L394" s="73">
        <v>4.0</v>
      </c>
      <c r="M394" s="73"/>
      <c r="N394" s="75">
        <v>0.49722222222222223</v>
      </c>
      <c r="O394" s="76" t="s">
        <v>1822</v>
      </c>
      <c r="P394" s="75">
        <v>0.5555555555555556</v>
      </c>
      <c r="T394" s="76" t="s">
        <v>1929</v>
      </c>
      <c r="U394" s="74"/>
      <c r="V394" s="74" t="s">
        <v>1930</v>
      </c>
      <c r="W394" s="74"/>
      <c r="Y394" s="74"/>
      <c r="Z394" s="74"/>
      <c r="AA394" s="74"/>
      <c r="AB394" s="74"/>
      <c r="AC394" s="74"/>
      <c r="AD394" s="74"/>
      <c r="AE394" s="74"/>
      <c r="AF394" s="74"/>
      <c r="AG394" s="74"/>
    </row>
    <row r="395">
      <c r="A395" s="73">
        <v>2022.0</v>
      </c>
      <c r="B395" s="73" t="s">
        <v>400</v>
      </c>
      <c r="C395" s="73">
        <v>28.0</v>
      </c>
      <c r="D395" s="74" t="s">
        <v>243</v>
      </c>
      <c r="E395" s="74" t="s">
        <v>175</v>
      </c>
      <c r="F395" s="74" t="s">
        <v>175</v>
      </c>
      <c r="G395" s="74" t="s">
        <v>154</v>
      </c>
      <c r="H395" s="74" t="s">
        <v>1927</v>
      </c>
      <c r="I395" s="74" t="s">
        <v>1928</v>
      </c>
      <c r="J395" s="73">
        <v>18.5</v>
      </c>
      <c r="K395" s="73">
        <v>1.0</v>
      </c>
      <c r="L395" s="73">
        <v>5.0</v>
      </c>
      <c r="M395" s="73"/>
      <c r="N395" s="75">
        <v>0.5555555555555556</v>
      </c>
      <c r="O395" s="76" t="s">
        <v>1929</v>
      </c>
      <c r="P395" s="75">
        <v>0.6138888888888888</v>
      </c>
      <c r="T395" s="76" t="s">
        <v>1660</v>
      </c>
      <c r="U395" s="74" t="s">
        <v>1344</v>
      </c>
      <c r="V395" s="74" t="s">
        <v>422</v>
      </c>
      <c r="W395" s="74"/>
      <c r="Y395" s="74"/>
      <c r="Z395" s="74"/>
      <c r="AA395" s="74"/>
      <c r="AB395" s="74"/>
      <c r="AC395" s="74"/>
      <c r="AD395" s="74"/>
      <c r="AE395" s="74"/>
      <c r="AF395" s="74"/>
      <c r="AG395" s="74"/>
    </row>
    <row r="396">
      <c r="A396" s="73">
        <v>2022.0</v>
      </c>
      <c r="B396" s="73" t="s">
        <v>400</v>
      </c>
      <c r="C396" s="73">
        <v>28.0</v>
      </c>
      <c r="D396" s="74" t="s">
        <v>243</v>
      </c>
      <c r="E396" s="74" t="s">
        <v>175</v>
      </c>
      <c r="F396" s="74" t="s">
        <v>175</v>
      </c>
      <c r="G396" s="74" t="s">
        <v>154</v>
      </c>
      <c r="H396" s="74" t="s">
        <v>1931</v>
      </c>
      <c r="I396" s="74" t="s">
        <v>1932</v>
      </c>
      <c r="J396" s="73">
        <v>19.3</v>
      </c>
      <c r="K396" s="73">
        <v>2.0</v>
      </c>
      <c r="L396" s="73">
        <v>1.0</v>
      </c>
      <c r="M396" s="73"/>
      <c r="N396" s="75">
        <v>0.3680555555555556</v>
      </c>
      <c r="O396" s="76" t="s">
        <v>213</v>
      </c>
      <c r="P396" s="75">
        <v>0.4083333333333334</v>
      </c>
      <c r="T396" s="76" t="s">
        <v>1933</v>
      </c>
      <c r="U396" s="74" t="s">
        <v>309</v>
      </c>
      <c r="V396" s="74" t="s">
        <v>1934</v>
      </c>
      <c r="W396" s="74"/>
      <c r="Y396" s="74"/>
      <c r="Z396" s="74"/>
      <c r="AA396" s="74"/>
      <c r="AB396" s="74"/>
      <c r="AC396" s="74"/>
      <c r="AD396" s="74"/>
      <c r="AE396" s="74"/>
      <c r="AF396" s="74"/>
      <c r="AG396" s="74"/>
    </row>
    <row r="397">
      <c r="A397" s="73">
        <v>2022.0</v>
      </c>
      <c r="B397" s="73" t="s">
        <v>400</v>
      </c>
      <c r="C397" s="73">
        <v>28.0</v>
      </c>
      <c r="D397" s="74" t="s">
        <v>243</v>
      </c>
      <c r="E397" s="74" t="s">
        <v>175</v>
      </c>
      <c r="F397" s="74" t="s">
        <v>175</v>
      </c>
      <c r="G397" s="74" t="s">
        <v>154</v>
      </c>
      <c r="H397" s="74" t="s">
        <v>1931</v>
      </c>
      <c r="I397" s="74" t="s">
        <v>1932</v>
      </c>
      <c r="J397" s="73">
        <v>19.3</v>
      </c>
      <c r="K397" s="73">
        <v>2.0</v>
      </c>
      <c r="L397" s="73">
        <v>2.0</v>
      </c>
      <c r="M397" s="73"/>
      <c r="N397" s="75">
        <v>0.4083333333333334</v>
      </c>
      <c r="O397" s="76" t="s">
        <v>1933</v>
      </c>
      <c r="P397" s="75">
        <v>0.47222222222222227</v>
      </c>
      <c r="T397" s="76" t="s">
        <v>306</v>
      </c>
      <c r="U397" s="74" t="s">
        <v>309</v>
      </c>
      <c r="V397" s="74" t="s">
        <v>422</v>
      </c>
      <c r="W397" s="74"/>
      <c r="Y397" s="74"/>
      <c r="Z397" s="74"/>
      <c r="AA397" s="74"/>
      <c r="AB397" s="74"/>
      <c r="AC397" s="74"/>
      <c r="AD397" s="74"/>
      <c r="AE397" s="74"/>
      <c r="AF397" s="74"/>
      <c r="AG397" s="74"/>
    </row>
    <row r="398">
      <c r="A398" s="73">
        <v>2022.0</v>
      </c>
      <c r="B398" s="73" t="s">
        <v>400</v>
      </c>
      <c r="C398" s="73">
        <v>28.0</v>
      </c>
      <c r="D398" s="74" t="s">
        <v>243</v>
      </c>
      <c r="E398" s="74" t="s">
        <v>175</v>
      </c>
      <c r="F398" s="74" t="s">
        <v>175</v>
      </c>
      <c r="G398" s="74" t="s">
        <v>154</v>
      </c>
      <c r="H398" s="74" t="s">
        <v>1931</v>
      </c>
      <c r="I398" s="74" t="s">
        <v>1932</v>
      </c>
      <c r="J398" s="73">
        <v>19.3</v>
      </c>
      <c r="K398" s="73">
        <v>2.0</v>
      </c>
      <c r="L398" s="73">
        <v>3.0</v>
      </c>
      <c r="M398" s="73"/>
      <c r="N398" s="75">
        <v>0.47222222222222227</v>
      </c>
      <c r="O398" s="76" t="s">
        <v>306</v>
      </c>
      <c r="P398" s="75">
        <v>0.4986111111111111</v>
      </c>
      <c r="T398" s="76" t="s">
        <v>1071</v>
      </c>
      <c r="U398" s="74" t="s">
        <v>1344</v>
      </c>
      <c r="V398" s="74" t="s">
        <v>411</v>
      </c>
      <c r="W398" s="74"/>
      <c r="Y398" s="74"/>
      <c r="Z398" s="74"/>
      <c r="AA398" s="74"/>
      <c r="AB398" s="74"/>
      <c r="AC398" s="74"/>
      <c r="AD398" s="74"/>
      <c r="AE398" s="74"/>
      <c r="AF398" s="74"/>
      <c r="AG398" s="74"/>
    </row>
    <row r="399">
      <c r="A399" s="73">
        <v>2022.0</v>
      </c>
      <c r="B399" s="73" t="s">
        <v>400</v>
      </c>
      <c r="C399" s="73">
        <v>28.0</v>
      </c>
      <c r="D399" s="74" t="s">
        <v>243</v>
      </c>
      <c r="E399" s="74" t="s">
        <v>175</v>
      </c>
      <c r="F399" s="74" t="s">
        <v>175</v>
      </c>
      <c r="G399" s="74" t="s">
        <v>154</v>
      </c>
      <c r="H399" s="74" t="s">
        <v>1931</v>
      </c>
      <c r="I399" s="74" t="s">
        <v>1932</v>
      </c>
      <c r="J399" s="73">
        <v>19.3</v>
      </c>
      <c r="K399" s="73">
        <v>2.0</v>
      </c>
      <c r="L399" s="73">
        <v>4.0</v>
      </c>
      <c r="M399" s="73"/>
      <c r="N399" s="75">
        <v>0.4986111111111111</v>
      </c>
      <c r="O399" s="76" t="s">
        <v>1071</v>
      </c>
      <c r="P399" s="75">
        <v>0.5645833333333333</v>
      </c>
      <c r="T399" s="76" t="s">
        <v>1935</v>
      </c>
      <c r="U399" s="74" t="s">
        <v>1344</v>
      </c>
      <c r="V399" s="74" t="s">
        <v>411</v>
      </c>
      <c r="W399" s="74"/>
      <c r="Y399" s="74"/>
      <c r="Z399" s="74"/>
      <c r="AA399" s="74"/>
      <c r="AB399" s="74"/>
      <c r="AC399" s="74"/>
      <c r="AD399" s="74"/>
      <c r="AE399" s="74"/>
      <c r="AF399" s="74"/>
      <c r="AG399" s="74"/>
    </row>
    <row r="400">
      <c r="A400" s="73">
        <v>2022.0</v>
      </c>
      <c r="B400" s="73" t="s">
        <v>400</v>
      </c>
      <c r="C400" s="73">
        <v>28.0</v>
      </c>
      <c r="D400" s="74" t="s">
        <v>243</v>
      </c>
      <c r="E400" s="74" t="s">
        <v>175</v>
      </c>
      <c r="F400" s="74" t="s">
        <v>175</v>
      </c>
      <c r="G400" s="74" t="s">
        <v>154</v>
      </c>
      <c r="H400" s="74" t="s">
        <v>1931</v>
      </c>
      <c r="I400" s="74" t="s">
        <v>1932</v>
      </c>
      <c r="J400" s="73">
        <v>19.3</v>
      </c>
      <c r="K400" s="73">
        <v>2.0</v>
      </c>
      <c r="L400" s="73">
        <v>5.0</v>
      </c>
      <c r="M400" s="73"/>
      <c r="N400" s="75">
        <v>0.5645833333333333</v>
      </c>
      <c r="O400" s="76" t="s">
        <v>1935</v>
      </c>
      <c r="P400" s="75">
        <v>0.6166666666666667</v>
      </c>
      <c r="T400" s="76" t="s">
        <v>1936</v>
      </c>
      <c r="U400" s="74" t="s">
        <v>1344</v>
      </c>
      <c r="V400" s="74" t="s">
        <v>422</v>
      </c>
      <c r="W400" s="74"/>
      <c r="Y400" s="74"/>
      <c r="Z400" s="74"/>
      <c r="AA400" s="74"/>
      <c r="AB400" s="74"/>
      <c r="AC400" s="74"/>
      <c r="AD400" s="74"/>
      <c r="AE400" s="74"/>
      <c r="AF400" s="74"/>
      <c r="AG400" s="74"/>
    </row>
    <row r="401">
      <c r="A401" s="73">
        <v>2022.0</v>
      </c>
      <c r="B401" s="73" t="s">
        <v>400</v>
      </c>
      <c r="C401" s="73">
        <v>28.0</v>
      </c>
      <c r="D401" s="74" t="s">
        <v>243</v>
      </c>
      <c r="E401" s="74" t="s">
        <v>175</v>
      </c>
      <c r="F401" s="74" t="s">
        <v>175</v>
      </c>
      <c r="G401" s="74" t="s">
        <v>1842</v>
      </c>
      <c r="H401" s="74" t="s">
        <v>1937</v>
      </c>
      <c r="I401" s="74" t="s">
        <v>1938</v>
      </c>
      <c r="J401" s="73">
        <v>19.7</v>
      </c>
      <c r="K401" s="73">
        <v>3.0</v>
      </c>
      <c r="L401" s="73">
        <v>1.0</v>
      </c>
      <c r="M401" s="73"/>
      <c r="N401" s="75">
        <v>0.37013888888888885</v>
      </c>
      <c r="O401" s="76" t="s">
        <v>1939</v>
      </c>
      <c r="P401" s="75">
        <v>0.43333333333333335</v>
      </c>
      <c r="T401" s="76" t="s">
        <v>1940</v>
      </c>
      <c r="U401" s="74" t="s">
        <v>267</v>
      </c>
      <c r="V401" s="74" t="s">
        <v>422</v>
      </c>
      <c r="W401" s="74"/>
      <c r="Y401" s="74"/>
      <c r="Z401" s="74"/>
      <c r="AA401" s="74"/>
      <c r="AB401" s="74"/>
      <c r="AC401" s="74"/>
      <c r="AD401" s="74"/>
      <c r="AE401" s="74"/>
      <c r="AF401" s="74"/>
      <c r="AG401" s="74"/>
    </row>
    <row r="402">
      <c r="A402" s="73">
        <v>2022.0</v>
      </c>
      <c r="B402" s="73" t="s">
        <v>400</v>
      </c>
      <c r="C402" s="73">
        <v>28.0</v>
      </c>
      <c r="D402" s="74" t="s">
        <v>243</v>
      </c>
      <c r="E402" s="74" t="s">
        <v>175</v>
      </c>
      <c r="F402" s="74" t="s">
        <v>175</v>
      </c>
      <c r="G402" s="74" t="s">
        <v>1842</v>
      </c>
      <c r="H402" s="74" t="s">
        <v>1937</v>
      </c>
      <c r="I402" s="74" t="s">
        <v>1938</v>
      </c>
      <c r="J402" s="73">
        <v>19.7</v>
      </c>
      <c r="K402" s="73">
        <v>3.0</v>
      </c>
      <c r="L402" s="73">
        <v>2.0</v>
      </c>
      <c r="M402" s="73"/>
      <c r="N402" s="75">
        <v>0.43333333333333335</v>
      </c>
      <c r="O402" s="76" t="s">
        <v>1940</v>
      </c>
      <c r="P402" s="75">
        <v>0.47500000000000003</v>
      </c>
      <c r="T402" s="76" t="s">
        <v>592</v>
      </c>
      <c r="U402" s="74" t="s">
        <v>267</v>
      </c>
      <c r="V402" s="74" t="s">
        <v>422</v>
      </c>
      <c r="W402" s="74"/>
      <c r="Y402" s="74"/>
      <c r="Z402" s="74"/>
      <c r="AA402" s="74"/>
      <c r="AB402" s="74"/>
      <c r="AC402" s="74"/>
      <c r="AD402" s="74"/>
      <c r="AE402" s="74"/>
      <c r="AF402" s="74"/>
      <c r="AG402" s="74"/>
    </row>
    <row r="403">
      <c r="A403" s="73">
        <v>2022.0</v>
      </c>
      <c r="B403" s="73" t="s">
        <v>400</v>
      </c>
      <c r="C403" s="73">
        <v>28.0</v>
      </c>
      <c r="D403" s="74" t="s">
        <v>243</v>
      </c>
      <c r="E403" s="74" t="s">
        <v>175</v>
      </c>
      <c r="F403" s="74" t="s">
        <v>175</v>
      </c>
      <c r="G403" s="74" t="s">
        <v>1842</v>
      </c>
      <c r="H403" s="74" t="s">
        <v>1937</v>
      </c>
      <c r="I403" s="74" t="s">
        <v>1938</v>
      </c>
      <c r="J403" s="73">
        <v>19.7</v>
      </c>
      <c r="K403" s="73">
        <v>3.0</v>
      </c>
      <c r="L403" s="73">
        <v>3.0</v>
      </c>
      <c r="M403" s="73"/>
      <c r="N403" s="75">
        <v>0.47500000000000003</v>
      </c>
      <c r="O403" s="76" t="s">
        <v>592</v>
      </c>
      <c r="P403" s="75">
        <v>0.5013888888888889</v>
      </c>
      <c r="T403" s="76" t="s">
        <v>1941</v>
      </c>
      <c r="U403" s="74" t="s">
        <v>1344</v>
      </c>
      <c r="V403" s="74" t="s">
        <v>422</v>
      </c>
      <c r="W403" s="74"/>
      <c r="Y403" s="74"/>
      <c r="Z403" s="74"/>
      <c r="AA403" s="74"/>
      <c r="AB403" s="74"/>
      <c r="AC403" s="74"/>
      <c r="AD403" s="74"/>
      <c r="AE403" s="74"/>
      <c r="AF403" s="74"/>
      <c r="AG403" s="74"/>
    </row>
    <row r="404">
      <c r="A404" s="73">
        <v>2022.0</v>
      </c>
      <c r="B404" s="73" t="s">
        <v>400</v>
      </c>
      <c r="C404" s="73">
        <v>28.0</v>
      </c>
      <c r="D404" s="74" t="s">
        <v>243</v>
      </c>
      <c r="E404" s="74" t="s">
        <v>175</v>
      </c>
      <c r="F404" s="74" t="s">
        <v>175</v>
      </c>
      <c r="G404" s="74" t="s">
        <v>1842</v>
      </c>
      <c r="H404" s="74" t="s">
        <v>1937</v>
      </c>
      <c r="I404" s="74" t="s">
        <v>1938</v>
      </c>
      <c r="J404" s="73">
        <v>19.7</v>
      </c>
      <c r="K404" s="73">
        <v>3.0</v>
      </c>
      <c r="L404" s="73">
        <v>4.0</v>
      </c>
      <c r="M404" s="73"/>
      <c r="N404" s="75">
        <v>0.5013888888888889</v>
      </c>
      <c r="O404" s="76" t="s">
        <v>1941</v>
      </c>
      <c r="P404" s="75">
        <v>0.5680555555555555</v>
      </c>
      <c r="T404" s="76" t="s">
        <v>1942</v>
      </c>
      <c r="U404" s="74" t="s">
        <v>287</v>
      </c>
      <c r="V404" s="74" t="s">
        <v>376</v>
      </c>
      <c r="W404" s="74"/>
      <c r="Y404" s="74"/>
      <c r="Z404" s="74"/>
      <c r="AA404" s="74"/>
      <c r="AB404" s="74"/>
      <c r="AC404" s="74"/>
      <c r="AD404" s="74"/>
      <c r="AE404" s="74"/>
      <c r="AF404" s="74"/>
      <c r="AG404" s="74"/>
    </row>
    <row r="405">
      <c r="A405" s="73">
        <v>2022.0</v>
      </c>
      <c r="B405" s="73" t="s">
        <v>400</v>
      </c>
      <c r="C405" s="73">
        <v>28.0</v>
      </c>
      <c r="D405" s="74" t="s">
        <v>243</v>
      </c>
      <c r="E405" s="74" t="s">
        <v>175</v>
      </c>
      <c r="F405" s="74" t="s">
        <v>175</v>
      </c>
      <c r="G405" s="74" t="s">
        <v>1842</v>
      </c>
      <c r="H405" s="74" t="s">
        <v>1937</v>
      </c>
      <c r="I405" s="74" t="s">
        <v>1938</v>
      </c>
      <c r="J405" s="73">
        <v>19.7</v>
      </c>
      <c r="K405" s="73">
        <v>3.0</v>
      </c>
      <c r="L405" s="73">
        <v>5.0</v>
      </c>
      <c r="M405" s="73"/>
      <c r="N405" s="75">
        <v>0.5680555555555555</v>
      </c>
      <c r="O405" s="76" t="s">
        <v>1942</v>
      </c>
      <c r="P405" s="75">
        <v>0.6194444444444445</v>
      </c>
      <c r="T405" s="76" t="s">
        <v>1483</v>
      </c>
      <c r="U405" s="74"/>
      <c r="V405" s="74" t="s">
        <v>422</v>
      </c>
      <c r="W405" s="74"/>
      <c r="Y405" s="74"/>
      <c r="Z405" s="74"/>
      <c r="AA405" s="74"/>
      <c r="AB405" s="74"/>
      <c r="AC405" s="74"/>
      <c r="AD405" s="74"/>
      <c r="AE405" s="74"/>
      <c r="AF405" s="74"/>
      <c r="AG405" s="74"/>
    </row>
    <row r="406">
      <c r="A406" s="73">
        <v>2022.0</v>
      </c>
      <c r="B406" s="73" t="s">
        <v>400</v>
      </c>
      <c r="C406" s="73">
        <v>28.0</v>
      </c>
      <c r="D406" s="74" t="s">
        <v>243</v>
      </c>
      <c r="E406" s="74" t="s">
        <v>175</v>
      </c>
      <c r="F406" s="74" t="s">
        <v>175</v>
      </c>
      <c r="G406" s="74" t="s">
        <v>154</v>
      </c>
      <c r="H406" s="74" t="s">
        <v>1943</v>
      </c>
      <c r="I406" s="74" t="s">
        <v>1944</v>
      </c>
      <c r="J406" s="73">
        <v>19.2</v>
      </c>
      <c r="K406" s="73">
        <v>4.0</v>
      </c>
      <c r="L406" s="73">
        <v>1.0</v>
      </c>
      <c r="M406" s="73"/>
      <c r="N406" s="75">
        <v>0.3729166666666666</v>
      </c>
      <c r="O406" s="76" t="s">
        <v>1894</v>
      </c>
      <c r="P406" s="75">
        <v>0.4361111111111111</v>
      </c>
      <c r="T406" s="76" t="s">
        <v>768</v>
      </c>
      <c r="U406" s="74" t="s">
        <v>1344</v>
      </c>
      <c r="V406" s="74" t="s">
        <v>376</v>
      </c>
      <c r="W406" s="74"/>
      <c r="Y406" s="74"/>
      <c r="Z406" s="74"/>
      <c r="AA406" s="74"/>
      <c r="AB406" s="74"/>
      <c r="AC406" s="74"/>
      <c r="AD406" s="74"/>
      <c r="AE406" s="74"/>
      <c r="AF406" s="74"/>
      <c r="AG406" s="74"/>
    </row>
    <row r="407">
      <c r="A407" s="73">
        <v>2022.0</v>
      </c>
      <c r="B407" s="73" t="s">
        <v>400</v>
      </c>
      <c r="C407" s="73">
        <v>28.0</v>
      </c>
      <c r="D407" s="74" t="s">
        <v>243</v>
      </c>
      <c r="E407" s="74" t="s">
        <v>175</v>
      </c>
      <c r="F407" s="74" t="s">
        <v>175</v>
      </c>
      <c r="G407" s="74" t="s">
        <v>154</v>
      </c>
      <c r="H407" s="74" t="s">
        <v>1943</v>
      </c>
      <c r="I407" s="74" t="s">
        <v>1944</v>
      </c>
      <c r="J407" s="73">
        <v>19.2</v>
      </c>
      <c r="K407" s="73">
        <v>4.0</v>
      </c>
      <c r="L407" s="73">
        <v>2.0</v>
      </c>
      <c r="M407" s="73"/>
      <c r="N407" s="75">
        <v>0.4361111111111111</v>
      </c>
      <c r="O407" s="76" t="s">
        <v>768</v>
      </c>
      <c r="P407" s="75">
        <v>0.4777777777777778</v>
      </c>
      <c r="T407" s="76" t="s">
        <v>596</v>
      </c>
      <c r="U407" s="74"/>
      <c r="V407" s="74" t="s">
        <v>376</v>
      </c>
      <c r="W407" s="74"/>
      <c r="Y407" s="74"/>
      <c r="Z407" s="74"/>
      <c r="AA407" s="74"/>
      <c r="AB407" s="74"/>
      <c r="AC407" s="74"/>
      <c r="AD407" s="74"/>
      <c r="AE407" s="74"/>
      <c r="AF407" s="74"/>
      <c r="AG407" s="74"/>
    </row>
    <row r="408">
      <c r="A408" s="73">
        <v>2022.0</v>
      </c>
      <c r="B408" s="73" t="s">
        <v>400</v>
      </c>
      <c r="C408" s="73">
        <v>28.0</v>
      </c>
      <c r="D408" s="74" t="s">
        <v>243</v>
      </c>
      <c r="E408" s="74" t="s">
        <v>175</v>
      </c>
      <c r="F408" s="74" t="s">
        <v>175</v>
      </c>
      <c r="G408" s="74" t="s">
        <v>154</v>
      </c>
      <c r="H408" s="74" t="s">
        <v>1943</v>
      </c>
      <c r="I408" s="74" t="s">
        <v>1944</v>
      </c>
      <c r="J408" s="73">
        <v>19.2</v>
      </c>
      <c r="K408" s="73">
        <v>4.0</v>
      </c>
      <c r="L408" s="73">
        <v>3.0</v>
      </c>
      <c r="M408" s="73"/>
      <c r="N408" s="75">
        <v>0.4777777777777778</v>
      </c>
      <c r="O408" s="76" t="s">
        <v>596</v>
      </c>
      <c r="P408" s="75">
        <v>0.5034722222222222</v>
      </c>
      <c r="T408" s="76" t="s">
        <v>226</v>
      </c>
      <c r="U408" s="74"/>
      <c r="V408" s="74" t="s">
        <v>376</v>
      </c>
      <c r="W408" s="74"/>
      <c r="Y408" s="74"/>
      <c r="Z408" s="74"/>
      <c r="AA408" s="74"/>
      <c r="AB408" s="74"/>
      <c r="AC408" s="74"/>
      <c r="AD408" s="74"/>
      <c r="AE408" s="74"/>
      <c r="AF408" s="74"/>
      <c r="AG408" s="74"/>
    </row>
    <row r="409">
      <c r="A409" s="73">
        <v>2022.0</v>
      </c>
      <c r="B409" s="73" t="s">
        <v>400</v>
      </c>
      <c r="C409" s="73">
        <v>28.0</v>
      </c>
      <c r="D409" s="74" t="s">
        <v>243</v>
      </c>
      <c r="E409" s="74" t="s">
        <v>175</v>
      </c>
      <c r="F409" s="74" t="s">
        <v>175</v>
      </c>
      <c r="G409" s="74" t="s">
        <v>154</v>
      </c>
      <c r="H409" s="74" t="s">
        <v>1943</v>
      </c>
      <c r="I409" s="74" t="s">
        <v>1944</v>
      </c>
      <c r="J409" s="73">
        <v>19.2</v>
      </c>
      <c r="K409" s="73">
        <v>4.0</v>
      </c>
      <c r="L409" s="73">
        <v>4.0</v>
      </c>
      <c r="M409" s="73"/>
      <c r="N409" s="75">
        <v>0.5034722222222222</v>
      </c>
      <c r="O409" s="76" t="s">
        <v>226</v>
      </c>
      <c r="P409" s="75">
        <v>0.5715277777777777</v>
      </c>
      <c r="T409" s="76" t="s">
        <v>1945</v>
      </c>
      <c r="U409" s="74"/>
      <c r="V409" s="74" t="s">
        <v>376</v>
      </c>
      <c r="W409" s="74"/>
      <c r="Y409" s="74"/>
      <c r="Z409" s="74"/>
      <c r="AA409" s="74"/>
      <c r="AB409" s="74"/>
      <c r="AC409" s="74"/>
      <c r="AD409" s="74"/>
      <c r="AE409" s="74"/>
      <c r="AF409" s="74"/>
      <c r="AG409" s="74"/>
    </row>
    <row r="410">
      <c r="A410" s="73">
        <v>2022.0</v>
      </c>
      <c r="B410" s="73" t="s">
        <v>400</v>
      </c>
      <c r="C410" s="73">
        <v>28.0</v>
      </c>
      <c r="D410" s="74" t="s">
        <v>243</v>
      </c>
      <c r="E410" s="74" t="s">
        <v>175</v>
      </c>
      <c r="F410" s="74" t="s">
        <v>175</v>
      </c>
      <c r="G410" s="74" t="s">
        <v>154</v>
      </c>
      <c r="H410" s="74" t="s">
        <v>1943</v>
      </c>
      <c r="I410" s="74" t="s">
        <v>1944</v>
      </c>
      <c r="J410" s="73">
        <v>19.2</v>
      </c>
      <c r="K410" s="73">
        <v>4.0</v>
      </c>
      <c r="L410" s="73">
        <v>5.0</v>
      </c>
      <c r="M410" s="73"/>
      <c r="N410" s="75">
        <v>0.5715277777777777</v>
      </c>
      <c r="O410" s="76" t="s">
        <v>1945</v>
      </c>
      <c r="P410" s="75">
        <v>0.6222222222222222</v>
      </c>
      <c r="T410" s="76" t="s">
        <v>1637</v>
      </c>
      <c r="U410" s="74"/>
      <c r="V410" s="74" t="s">
        <v>376</v>
      </c>
      <c r="W410" s="74"/>
      <c r="Y410" s="74"/>
      <c r="Z410" s="74"/>
      <c r="AA410" s="74"/>
      <c r="AB410" s="74"/>
      <c r="AC410" s="74"/>
      <c r="AD410" s="74"/>
      <c r="AE410" s="74"/>
      <c r="AF410" s="74"/>
      <c r="AG410" s="74"/>
    </row>
    <row r="411">
      <c r="A411" s="73">
        <v>2022.0</v>
      </c>
      <c r="B411" s="73" t="s">
        <v>400</v>
      </c>
      <c r="C411" s="73">
        <v>28.0</v>
      </c>
      <c r="D411" s="74" t="s">
        <v>243</v>
      </c>
      <c r="E411" s="74" t="s">
        <v>175</v>
      </c>
      <c r="F411" s="74" t="s">
        <v>175</v>
      </c>
      <c r="G411" s="74" t="s">
        <v>1842</v>
      </c>
      <c r="H411" s="74" t="s">
        <v>1946</v>
      </c>
      <c r="I411" s="74" t="s">
        <v>1947</v>
      </c>
      <c r="J411" s="73">
        <v>20.3</v>
      </c>
      <c r="K411" s="73">
        <v>5.0</v>
      </c>
      <c r="L411" s="73">
        <v>1.0</v>
      </c>
      <c r="M411" s="73"/>
      <c r="N411" s="75">
        <v>0.3756944444444445</v>
      </c>
      <c r="O411" s="76" t="s">
        <v>497</v>
      </c>
      <c r="P411" s="75">
        <v>0.44305555555555554</v>
      </c>
      <c r="T411" s="76" t="s">
        <v>1907</v>
      </c>
      <c r="U411" s="74" t="s">
        <v>309</v>
      </c>
      <c r="V411" s="74" t="s">
        <v>1948</v>
      </c>
      <c r="W411" s="74"/>
      <c r="Y411" s="74"/>
      <c r="Z411" s="74"/>
      <c r="AA411" s="74"/>
      <c r="AB411" s="74"/>
      <c r="AC411" s="74"/>
      <c r="AD411" s="74"/>
      <c r="AE411" s="74"/>
      <c r="AF411" s="74"/>
      <c r="AG411" s="74"/>
    </row>
    <row r="412">
      <c r="A412" s="73">
        <v>2022.0</v>
      </c>
      <c r="B412" s="73" t="s">
        <v>400</v>
      </c>
      <c r="C412" s="73">
        <v>28.0</v>
      </c>
      <c r="D412" s="74" t="s">
        <v>243</v>
      </c>
      <c r="E412" s="74" t="s">
        <v>175</v>
      </c>
      <c r="F412" s="74" t="s">
        <v>175</v>
      </c>
      <c r="G412" s="74" t="s">
        <v>1842</v>
      </c>
      <c r="H412" s="74" t="s">
        <v>1946</v>
      </c>
      <c r="I412" s="74" t="s">
        <v>1947</v>
      </c>
      <c r="J412" s="73">
        <v>20.3</v>
      </c>
      <c r="K412" s="73">
        <v>5.0</v>
      </c>
      <c r="L412" s="73">
        <v>2.0</v>
      </c>
      <c r="M412" s="73"/>
      <c r="N412" s="75">
        <v>0.44305555555555554</v>
      </c>
      <c r="O412" s="76" t="s">
        <v>1907</v>
      </c>
      <c r="P412" s="75">
        <v>0.4784722222222222</v>
      </c>
      <c r="T412" s="76" t="s">
        <v>1949</v>
      </c>
      <c r="U412" s="74" t="s">
        <v>1344</v>
      </c>
      <c r="V412" s="74" t="s">
        <v>422</v>
      </c>
      <c r="W412" s="74"/>
      <c r="Y412" s="74"/>
      <c r="Z412" s="74"/>
      <c r="AA412" s="74"/>
      <c r="AB412" s="74"/>
      <c r="AC412" s="74"/>
      <c r="AD412" s="74"/>
      <c r="AE412" s="74"/>
      <c r="AF412" s="74"/>
      <c r="AG412" s="74"/>
    </row>
    <row r="413">
      <c r="A413" s="73">
        <v>2022.0</v>
      </c>
      <c r="B413" s="73" t="s">
        <v>400</v>
      </c>
      <c r="C413" s="73">
        <v>28.0</v>
      </c>
      <c r="D413" s="74" t="s">
        <v>243</v>
      </c>
      <c r="E413" s="74" t="s">
        <v>175</v>
      </c>
      <c r="F413" s="74" t="s">
        <v>175</v>
      </c>
      <c r="G413" s="74" t="s">
        <v>1842</v>
      </c>
      <c r="H413" s="74" t="s">
        <v>1946</v>
      </c>
      <c r="I413" s="74" t="s">
        <v>1947</v>
      </c>
      <c r="J413" s="73">
        <v>20.3</v>
      </c>
      <c r="K413" s="73">
        <v>5.0</v>
      </c>
      <c r="L413" s="73">
        <v>3.0</v>
      </c>
      <c r="M413" s="73"/>
      <c r="N413" s="75">
        <v>0.4784722222222222</v>
      </c>
      <c r="O413" s="76" t="s">
        <v>1949</v>
      </c>
      <c r="P413" s="75">
        <v>0.5048611111111111</v>
      </c>
      <c r="T413" s="76" t="s">
        <v>1950</v>
      </c>
      <c r="U413" s="74" t="s">
        <v>1344</v>
      </c>
      <c r="V413" s="74" t="s">
        <v>422</v>
      </c>
      <c r="W413" s="74"/>
      <c r="Y413" s="74"/>
      <c r="Z413" s="74"/>
      <c r="AA413" s="74"/>
      <c r="AB413" s="74"/>
      <c r="AC413" s="74"/>
      <c r="AD413" s="74"/>
      <c r="AE413" s="74"/>
      <c r="AF413" s="74"/>
      <c r="AG413" s="74"/>
    </row>
    <row r="414">
      <c r="A414" s="73">
        <v>2022.0</v>
      </c>
      <c r="B414" s="73" t="s">
        <v>400</v>
      </c>
      <c r="C414" s="73">
        <v>28.0</v>
      </c>
      <c r="D414" s="74" t="s">
        <v>243</v>
      </c>
      <c r="E414" s="74" t="s">
        <v>175</v>
      </c>
      <c r="F414" s="74" t="s">
        <v>175</v>
      </c>
      <c r="G414" s="74" t="s">
        <v>1842</v>
      </c>
      <c r="H414" s="74" t="s">
        <v>1946</v>
      </c>
      <c r="I414" s="74" t="s">
        <v>1947</v>
      </c>
      <c r="J414" s="73">
        <v>20.3</v>
      </c>
      <c r="K414" s="73">
        <v>5.0</v>
      </c>
      <c r="L414" s="73">
        <v>4.0</v>
      </c>
      <c r="M414" s="73"/>
      <c r="N414" s="75">
        <v>0.5048611111111111</v>
      </c>
      <c r="O414" s="76" t="s">
        <v>1950</v>
      </c>
      <c r="P414" s="75">
        <v>0.5729166666666666</v>
      </c>
      <c r="T414" s="76" t="s">
        <v>646</v>
      </c>
      <c r="U414" s="74" t="s">
        <v>1344</v>
      </c>
      <c r="V414" s="74" t="s">
        <v>422</v>
      </c>
      <c r="W414" s="74"/>
      <c r="Y414" s="74"/>
      <c r="Z414" s="74"/>
      <c r="AA414" s="74"/>
      <c r="AB414" s="74"/>
      <c r="AC414" s="74"/>
      <c r="AD414" s="74"/>
      <c r="AE414" s="74"/>
      <c r="AF414" s="74"/>
      <c r="AG414" s="74"/>
    </row>
    <row r="415">
      <c r="A415" s="73">
        <v>2022.0</v>
      </c>
      <c r="B415" s="73" t="s">
        <v>400</v>
      </c>
      <c r="C415" s="73">
        <v>28.0</v>
      </c>
      <c r="D415" s="74" t="s">
        <v>243</v>
      </c>
      <c r="E415" s="74" t="s">
        <v>175</v>
      </c>
      <c r="F415" s="74" t="s">
        <v>175</v>
      </c>
      <c r="G415" s="74" t="s">
        <v>1842</v>
      </c>
      <c r="H415" s="74" t="s">
        <v>1946</v>
      </c>
      <c r="I415" s="74" t="s">
        <v>1947</v>
      </c>
      <c r="J415" s="73">
        <v>20.3</v>
      </c>
      <c r="K415" s="73">
        <v>5.0</v>
      </c>
      <c r="L415" s="73">
        <v>5.0</v>
      </c>
      <c r="M415" s="73"/>
      <c r="N415" s="75">
        <v>0.5729166666666666</v>
      </c>
      <c r="O415" s="76" t="s">
        <v>646</v>
      </c>
      <c r="P415" s="75">
        <v>0.625</v>
      </c>
      <c r="T415" s="76" t="s">
        <v>1951</v>
      </c>
      <c r="U415" s="74" t="s">
        <v>1344</v>
      </c>
      <c r="V415" s="74" t="s">
        <v>411</v>
      </c>
      <c r="W415" s="74"/>
      <c r="Y415" s="74"/>
      <c r="Z415" s="74"/>
      <c r="AA415" s="74"/>
      <c r="AB415" s="74"/>
      <c r="AC415" s="74"/>
      <c r="AD415" s="74"/>
      <c r="AE415" s="74"/>
      <c r="AF415" s="74"/>
      <c r="AG415" s="74"/>
    </row>
    <row r="416">
      <c r="A416" s="73">
        <v>2022.0</v>
      </c>
      <c r="B416" s="73" t="s">
        <v>400</v>
      </c>
      <c r="C416" s="73">
        <v>28.0</v>
      </c>
      <c r="D416" s="74" t="s">
        <v>243</v>
      </c>
      <c r="E416" s="74" t="s">
        <v>175</v>
      </c>
      <c r="F416" s="74" t="s">
        <v>175</v>
      </c>
      <c r="G416" s="74" t="s">
        <v>154</v>
      </c>
      <c r="H416" s="74" t="s">
        <v>1952</v>
      </c>
      <c r="I416" s="74" t="s">
        <v>1953</v>
      </c>
      <c r="J416" s="73">
        <v>19.0</v>
      </c>
      <c r="K416" s="73">
        <v>6.0</v>
      </c>
      <c r="L416" s="73">
        <v>1.0</v>
      </c>
      <c r="M416" s="73"/>
      <c r="N416" s="75">
        <v>0.37847222222222227</v>
      </c>
      <c r="O416" s="76" t="s">
        <v>234</v>
      </c>
      <c r="P416" s="75">
        <v>0.45555555555555555</v>
      </c>
      <c r="T416" s="76" t="s">
        <v>1954</v>
      </c>
      <c r="U416" s="74" t="s">
        <v>267</v>
      </c>
      <c r="V416" s="74" t="s">
        <v>411</v>
      </c>
      <c r="W416" s="74"/>
      <c r="Y416" s="74"/>
      <c r="Z416" s="74"/>
      <c r="AA416" s="74"/>
      <c r="AB416" s="74"/>
      <c r="AC416" s="74"/>
      <c r="AD416" s="74"/>
      <c r="AE416" s="74"/>
      <c r="AF416" s="74"/>
      <c r="AG416" s="74"/>
    </row>
    <row r="417">
      <c r="A417" s="73">
        <v>2022.0</v>
      </c>
      <c r="B417" s="73" t="s">
        <v>400</v>
      </c>
      <c r="C417" s="73">
        <v>28.0</v>
      </c>
      <c r="D417" s="74" t="s">
        <v>243</v>
      </c>
      <c r="E417" s="74" t="s">
        <v>175</v>
      </c>
      <c r="F417" s="74" t="s">
        <v>175</v>
      </c>
      <c r="G417" s="74" t="s">
        <v>154</v>
      </c>
      <c r="H417" s="74" t="s">
        <v>1952</v>
      </c>
      <c r="I417" s="74" t="s">
        <v>1953</v>
      </c>
      <c r="J417" s="73">
        <v>19.0</v>
      </c>
      <c r="K417" s="73">
        <v>6.0</v>
      </c>
      <c r="L417" s="73">
        <v>2.0</v>
      </c>
      <c r="M417" s="73"/>
      <c r="N417" s="75">
        <v>0.45555555555555555</v>
      </c>
      <c r="O417" s="76" t="s">
        <v>1954</v>
      </c>
      <c r="P417" s="75">
        <v>0.48194444444444445</v>
      </c>
      <c r="T417" s="76" t="s">
        <v>1955</v>
      </c>
      <c r="U417" s="74"/>
      <c r="V417" s="74" t="s">
        <v>376</v>
      </c>
      <c r="W417" s="74"/>
      <c r="Y417" s="74"/>
      <c r="Z417" s="74"/>
      <c r="AA417" s="74"/>
      <c r="AB417" s="74"/>
      <c r="AC417" s="74"/>
      <c r="AD417" s="74"/>
      <c r="AE417" s="74"/>
      <c r="AF417" s="74"/>
      <c r="AG417" s="74"/>
    </row>
    <row r="418">
      <c r="A418" s="73">
        <v>2022.0</v>
      </c>
      <c r="B418" s="73" t="s">
        <v>400</v>
      </c>
      <c r="C418" s="73">
        <v>28.0</v>
      </c>
      <c r="D418" s="74" t="s">
        <v>243</v>
      </c>
      <c r="E418" s="74" t="s">
        <v>175</v>
      </c>
      <c r="F418" s="74" t="s">
        <v>175</v>
      </c>
      <c r="G418" s="74" t="s">
        <v>154</v>
      </c>
      <c r="H418" s="74" t="s">
        <v>1952</v>
      </c>
      <c r="I418" s="74" t="s">
        <v>1953</v>
      </c>
      <c r="J418" s="73">
        <v>19.0</v>
      </c>
      <c r="K418" s="73">
        <v>6.0</v>
      </c>
      <c r="L418" s="73">
        <v>3.0</v>
      </c>
      <c r="M418" s="73"/>
      <c r="N418" s="75">
        <v>0.48194444444444445</v>
      </c>
      <c r="O418" s="76" t="s">
        <v>1955</v>
      </c>
      <c r="P418" s="75">
        <v>0.5076388888888889</v>
      </c>
      <c r="T418" s="76" t="s">
        <v>1082</v>
      </c>
      <c r="U418" s="74"/>
      <c r="V418" s="74" t="s">
        <v>376</v>
      </c>
      <c r="W418" s="74"/>
      <c r="Y418" s="74"/>
      <c r="Z418" s="74"/>
      <c r="AA418" s="74"/>
      <c r="AB418" s="74"/>
      <c r="AC418" s="74"/>
      <c r="AD418" s="74"/>
      <c r="AE418" s="74"/>
      <c r="AF418" s="74"/>
      <c r="AG418" s="74"/>
    </row>
    <row r="419">
      <c r="A419" s="73">
        <v>2022.0</v>
      </c>
      <c r="B419" s="73" t="s">
        <v>400</v>
      </c>
      <c r="C419" s="73">
        <v>28.0</v>
      </c>
      <c r="D419" s="74" t="s">
        <v>243</v>
      </c>
      <c r="E419" s="74" t="s">
        <v>175</v>
      </c>
      <c r="F419" s="74" t="s">
        <v>175</v>
      </c>
      <c r="G419" s="74" t="s">
        <v>154</v>
      </c>
      <c r="H419" s="74" t="s">
        <v>1952</v>
      </c>
      <c r="I419" s="74" t="s">
        <v>1953</v>
      </c>
      <c r="J419" s="73">
        <v>19.0</v>
      </c>
      <c r="K419" s="73">
        <v>6.0</v>
      </c>
      <c r="L419" s="73">
        <v>4.0</v>
      </c>
      <c r="M419" s="73"/>
      <c r="N419" s="75">
        <v>0.5076388888888889</v>
      </c>
      <c r="O419" s="76" t="s">
        <v>1082</v>
      </c>
      <c r="P419" s="75">
        <v>0.576388888888889</v>
      </c>
      <c r="T419" s="76" t="s">
        <v>654</v>
      </c>
      <c r="U419" s="74"/>
      <c r="V419" s="74" t="s">
        <v>376</v>
      </c>
      <c r="W419" s="74"/>
      <c r="Y419" s="74"/>
      <c r="Z419" s="74"/>
      <c r="AA419" s="74"/>
      <c r="AB419" s="74"/>
      <c r="AC419" s="74"/>
      <c r="AD419" s="74"/>
      <c r="AE419" s="74"/>
      <c r="AF419" s="74"/>
      <c r="AG419" s="74"/>
    </row>
    <row r="420">
      <c r="A420" s="73">
        <v>2022.0</v>
      </c>
      <c r="B420" s="73" t="s">
        <v>400</v>
      </c>
      <c r="C420" s="73">
        <v>28.0</v>
      </c>
      <c r="D420" s="74" t="s">
        <v>243</v>
      </c>
      <c r="E420" s="74" t="s">
        <v>175</v>
      </c>
      <c r="F420" s="74" t="s">
        <v>175</v>
      </c>
      <c r="G420" s="74" t="s">
        <v>154</v>
      </c>
      <c r="H420" s="74" t="s">
        <v>1952</v>
      </c>
      <c r="I420" s="74" t="s">
        <v>1953</v>
      </c>
      <c r="J420" s="73">
        <v>19.0</v>
      </c>
      <c r="K420" s="73">
        <v>6.0</v>
      </c>
      <c r="L420" s="73">
        <v>5.0</v>
      </c>
      <c r="M420" s="73"/>
      <c r="N420" s="75">
        <v>0.576388888888889</v>
      </c>
      <c r="O420" s="76" t="s">
        <v>654</v>
      </c>
      <c r="P420" s="75">
        <v>0.6277777777777778</v>
      </c>
      <c r="T420" s="76" t="s">
        <v>730</v>
      </c>
      <c r="U420" s="74"/>
      <c r="V420" s="74" t="s">
        <v>376</v>
      </c>
      <c r="W420" s="74"/>
      <c r="Y420" s="74"/>
      <c r="Z420" s="74"/>
      <c r="AA420" s="74"/>
      <c r="AB420" s="74"/>
      <c r="AC420" s="74"/>
      <c r="AD420" s="74"/>
      <c r="AE420" s="74"/>
      <c r="AF420" s="74"/>
      <c r="AG420" s="74"/>
    </row>
    <row r="421">
      <c r="A421" s="73">
        <v>2022.0</v>
      </c>
      <c r="B421" s="73" t="s">
        <v>400</v>
      </c>
      <c r="C421" s="73">
        <v>28.0</v>
      </c>
      <c r="D421" s="74" t="s">
        <v>243</v>
      </c>
      <c r="E421" s="74" t="s">
        <v>175</v>
      </c>
      <c r="F421" s="74" t="s">
        <v>175</v>
      </c>
      <c r="G421" s="74" t="s">
        <v>154</v>
      </c>
      <c r="H421" s="74" t="s">
        <v>1871</v>
      </c>
      <c r="I421" s="74" t="s">
        <v>1956</v>
      </c>
      <c r="J421" s="73">
        <v>17.8</v>
      </c>
      <c r="K421" s="73">
        <v>7.0</v>
      </c>
      <c r="L421" s="73">
        <v>1.0</v>
      </c>
      <c r="M421" s="73"/>
      <c r="N421" s="75">
        <v>0.38055555555555554</v>
      </c>
      <c r="O421" s="76" t="s">
        <v>580</v>
      </c>
      <c r="P421" s="75">
        <v>0.4576388888888889</v>
      </c>
      <c r="T421" s="76" t="s">
        <v>1222</v>
      </c>
      <c r="U421" s="74" t="s">
        <v>287</v>
      </c>
      <c r="V421" s="74" t="s">
        <v>376</v>
      </c>
      <c r="W421" s="74"/>
      <c r="Y421" s="74"/>
      <c r="Z421" s="74"/>
      <c r="AA421" s="74"/>
      <c r="AB421" s="74"/>
      <c r="AC421" s="74"/>
      <c r="AD421" s="74"/>
      <c r="AE421" s="74"/>
      <c r="AF421" s="74"/>
      <c r="AG421" s="74"/>
    </row>
    <row r="422">
      <c r="A422" s="73">
        <v>2022.0</v>
      </c>
      <c r="B422" s="73" t="s">
        <v>400</v>
      </c>
      <c r="C422" s="73">
        <v>28.0</v>
      </c>
      <c r="D422" s="74" t="s">
        <v>243</v>
      </c>
      <c r="E422" s="74" t="s">
        <v>175</v>
      </c>
      <c r="F422" s="74" t="s">
        <v>175</v>
      </c>
      <c r="G422" s="74" t="s">
        <v>154</v>
      </c>
      <c r="H422" s="74" t="s">
        <v>1871</v>
      </c>
      <c r="I422" s="74" t="s">
        <v>1956</v>
      </c>
      <c r="J422" s="73">
        <v>17.8</v>
      </c>
      <c r="K422" s="73">
        <v>7.0</v>
      </c>
      <c r="L422" s="73">
        <v>2.0</v>
      </c>
      <c r="M422" s="73"/>
      <c r="N422" s="75">
        <v>0.4576388888888889</v>
      </c>
      <c r="O422" s="76" t="s">
        <v>1222</v>
      </c>
      <c r="P422" s="75">
        <v>0.48333333333333334</v>
      </c>
      <c r="T422" s="76" t="s">
        <v>1253</v>
      </c>
      <c r="U422" s="74"/>
      <c r="V422" s="74" t="s">
        <v>376</v>
      </c>
      <c r="W422" s="74"/>
      <c r="Y422" s="74"/>
      <c r="Z422" s="74"/>
      <c r="AA422" s="74"/>
      <c r="AB422" s="74"/>
      <c r="AC422" s="74"/>
      <c r="AD422" s="74"/>
      <c r="AE422" s="74"/>
      <c r="AF422" s="74"/>
      <c r="AG422" s="74"/>
    </row>
    <row r="423">
      <c r="A423" s="73">
        <v>2022.0</v>
      </c>
      <c r="B423" s="73" t="s">
        <v>400</v>
      </c>
      <c r="C423" s="73">
        <v>28.0</v>
      </c>
      <c r="D423" s="74" t="s">
        <v>243</v>
      </c>
      <c r="E423" s="74" t="s">
        <v>175</v>
      </c>
      <c r="F423" s="74" t="s">
        <v>175</v>
      </c>
      <c r="G423" s="74" t="s">
        <v>154</v>
      </c>
      <c r="H423" s="74" t="s">
        <v>1871</v>
      </c>
      <c r="I423" s="74" t="s">
        <v>1956</v>
      </c>
      <c r="J423" s="73">
        <v>17.8</v>
      </c>
      <c r="K423" s="73">
        <v>7.0</v>
      </c>
      <c r="L423" s="73">
        <v>3.0</v>
      </c>
      <c r="M423" s="73"/>
      <c r="N423" s="75">
        <v>0.48333333333333334</v>
      </c>
      <c r="O423" s="76" t="s">
        <v>1253</v>
      </c>
      <c r="P423" s="75">
        <v>0.5090277777777777</v>
      </c>
      <c r="T423" s="76" t="s">
        <v>1921</v>
      </c>
      <c r="U423" s="74" t="s">
        <v>1344</v>
      </c>
      <c r="V423" s="74" t="s">
        <v>376</v>
      </c>
      <c r="W423" s="74"/>
      <c r="Y423" s="74"/>
      <c r="Z423" s="74"/>
      <c r="AA423" s="74"/>
      <c r="AB423" s="74"/>
      <c r="AC423" s="74"/>
      <c r="AD423" s="74"/>
      <c r="AE423" s="74"/>
      <c r="AF423" s="74"/>
      <c r="AG423" s="74"/>
    </row>
    <row r="424">
      <c r="A424" s="73">
        <v>2022.0</v>
      </c>
      <c r="B424" s="73" t="s">
        <v>400</v>
      </c>
      <c r="C424" s="73">
        <v>28.0</v>
      </c>
      <c r="D424" s="74" t="s">
        <v>243</v>
      </c>
      <c r="E424" s="74" t="s">
        <v>175</v>
      </c>
      <c r="F424" s="74" t="s">
        <v>175</v>
      </c>
      <c r="G424" s="74" t="s">
        <v>154</v>
      </c>
      <c r="H424" s="74" t="s">
        <v>1871</v>
      </c>
      <c r="I424" s="74" t="s">
        <v>1956</v>
      </c>
      <c r="J424" s="73">
        <v>17.8</v>
      </c>
      <c r="K424" s="73">
        <v>7.0</v>
      </c>
      <c r="L424" s="73">
        <v>4.0</v>
      </c>
      <c r="M424" s="73"/>
      <c r="N424" s="75">
        <v>0.5090277777777777</v>
      </c>
      <c r="O424" s="76" t="s">
        <v>1921</v>
      </c>
      <c r="P424" s="75">
        <v>0.5777777777777778</v>
      </c>
      <c r="T424" s="76" t="s">
        <v>1957</v>
      </c>
      <c r="U424" s="74"/>
      <c r="V424" s="74" t="s">
        <v>376</v>
      </c>
      <c r="W424" s="74"/>
      <c r="Y424" s="74"/>
      <c r="Z424" s="74"/>
      <c r="AA424" s="74"/>
      <c r="AB424" s="74"/>
      <c r="AC424" s="74"/>
      <c r="AD424" s="74"/>
      <c r="AE424" s="74"/>
      <c r="AF424" s="74"/>
      <c r="AG424" s="74"/>
    </row>
    <row r="425">
      <c r="A425" s="73">
        <v>2022.0</v>
      </c>
      <c r="B425" s="73" t="s">
        <v>400</v>
      </c>
      <c r="C425" s="73">
        <v>28.0</v>
      </c>
      <c r="D425" s="74" t="s">
        <v>243</v>
      </c>
      <c r="E425" s="74" t="s">
        <v>175</v>
      </c>
      <c r="F425" s="74" t="s">
        <v>175</v>
      </c>
      <c r="G425" s="74" t="s">
        <v>154</v>
      </c>
      <c r="H425" s="74" t="s">
        <v>1871</v>
      </c>
      <c r="I425" s="74" t="s">
        <v>1956</v>
      </c>
      <c r="J425" s="73">
        <v>17.8</v>
      </c>
      <c r="K425" s="73">
        <v>7.0</v>
      </c>
      <c r="L425" s="73">
        <v>5.0</v>
      </c>
      <c r="M425" s="73"/>
      <c r="N425" s="75">
        <v>0.5777777777777778</v>
      </c>
      <c r="O425" s="76" t="s">
        <v>1957</v>
      </c>
      <c r="P425" s="75">
        <v>0.6298611111111111</v>
      </c>
      <c r="T425" s="76" t="s">
        <v>737</v>
      </c>
      <c r="U425" s="74"/>
      <c r="V425" s="74" t="s">
        <v>376</v>
      </c>
      <c r="W425" s="74"/>
      <c r="Y425" s="74"/>
      <c r="Z425" s="74"/>
      <c r="AA425" s="74"/>
      <c r="AB425" s="74"/>
      <c r="AC425" s="74"/>
      <c r="AD425" s="74"/>
      <c r="AE425" s="74"/>
      <c r="AF425" s="74"/>
      <c r="AG425" s="74"/>
    </row>
    <row r="426">
      <c r="A426" s="73">
        <v>2023.0</v>
      </c>
      <c r="B426" s="73" t="s">
        <v>400</v>
      </c>
      <c r="C426" s="73">
        <v>16.0</v>
      </c>
      <c r="D426" s="74" t="s">
        <v>1958</v>
      </c>
      <c r="E426" s="74" t="s">
        <v>1410</v>
      </c>
      <c r="F426" s="73">
        <v>1.0</v>
      </c>
      <c r="G426" s="74" t="s">
        <v>1959</v>
      </c>
      <c r="H426" s="74" t="s">
        <v>1960</v>
      </c>
      <c r="I426" s="74" t="s">
        <v>1961</v>
      </c>
      <c r="J426" s="74" t="s">
        <v>1962</v>
      </c>
      <c r="K426" s="73">
        <v>1.0</v>
      </c>
      <c r="L426" s="73">
        <v>1.0</v>
      </c>
      <c r="M426" s="73"/>
      <c r="N426" s="75">
        <v>0.4131944444444444</v>
      </c>
      <c r="O426" s="76" t="s">
        <v>1926</v>
      </c>
      <c r="P426" s="75">
        <v>0.4534722222222222</v>
      </c>
      <c r="Q426" s="75"/>
      <c r="S426" s="75"/>
      <c r="T426" s="76" t="s">
        <v>784</v>
      </c>
      <c r="U426" s="74" t="s">
        <v>1963</v>
      </c>
      <c r="V426" s="74" t="s">
        <v>422</v>
      </c>
      <c r="W426" s="74"/>
      <c r="Y426" s="74"/>
      <c r="Z426" s="74"/>
      <c r="AA426" s="74"/>
      <c r="AB426" s="74"/>
      <c r="AC426" s="74"/>
      <c r="AD426" s="74"/>
      <c r="AE426" s="74"/>
      <c r="AF426" s="74"/>
      <c r="AG426" s="74"/>
    </row>
    <row r="427">
      <c r="A427" s="73">
        <v>2023.0</v>
      </c>
      <c r="B427" s="73" t="s">
        <v>400</v>
      </c>
      <c r="C427" s="73">
        <v>16.0</v>
      </c>
      <c r="D427" s="74" t="s">
        <v>1958</v>
      </c>
      <c r="E427" s="74" t="s">
        <v>1410</v>
      </c>
      <c r="F427" s="73">
        <v>1.0</v>
      </c>
      <c r="G427" s="74" t="s">
        <v>1959</v>
      </c>
      <c r="H427" s="74" t="s">
        <v>1960</v>
      </c>
      <c r="I427" s="74" t="s">
        <v>1961</v>
      </c>
      <c r="J427" s="74" t="s">
        <v>1962</v>
      </c>
      <c r="K427" s="73">
        <v>1.0</v>
      </c>
      <c r="L427" s="73">
        <v>2.0</v>
      </c>
      <c r="M427" s="73"/>
      <c r="N427" s="75">
        <v>0.4534722222222222</v>
      </c>
      <c r="O427" s="76" t="s">
        <v>784</v>
      </c>
      <c r="P427" s="75">
        <v>0.49444444444444446</v>
      </c>
      <c r="Q427" s="75"/>
      <c r="S427" s="75"/>
      <c r="T427" s="76" t="s">
        <v>1964</v>
      </c>
      <c r="U427" s="74" t="s">
        <v>1411</v>
      </c>
      <c r="V427" s="74" t="s">
        <v>376</v>
      </c>
      <c r="W427" s="74"/>
      <c r="Y427" s="74"/>
      <c r="Z427" s="74"/>
      <c r="AA427" s="74"/>
      <c r="AB427" s="74"/>
      <c r="AC427" s="74"/>
      <c r="AD427" s="74"/>
      <c r="AE427" s="74"/>
      <c r="AF427" s="74"/>
      <c r="AG427" s="74"/>
    </row>
    <row r="428">
      <c r="A428" s="73">
        <v>2023.0</v>
      </c>
      <c r="B428" s="73" t="s">
        <v>400</v>
      </c>
      <c r="C428" s="73">
        <v>16.0</v>
      </c>
      <c r="D428" s="74" t="s">
        <v>1958</v>
      </c>
      <c r="E428" s="74" t="s">
        <v>1410</v>
      </c>
      <c r="F428" s="73">
        <v>2.0</v>
      </c>
      <c r="G428" s="74" t="s">
        <v>1959</v>
      </c>
      <c r="H428" s="74" t="s">
        <v>1965</v>
      </c>
      <c r="I428" s="74" t="s">
        <v>1966</v>
      </c>
      <c r="J428" s="73">
        <v>21.0</v>
      </c>
      <c r="K428" s="73">
        <v>2.0</v>
      </c>
      <c r="L428" s="73">
        <v>1.0</v>
      </c>
      <c r="M428" s="73"/>
      <c r="N428" s="75">
        <v>0.4159722222222222</v>
      </c>
      <c r="O428" s="76" t="s">
        <v>1967</v>
      </c>
      <c r="P428" s="75">
        <v>0.45625</v>
      </c>
      <c r="Q428" s="75"/>
      <c r="S428" s="75"/>
      <c r="T428" s="76" t="s">
        <v>1968</v>
      </c>
      <c r="U428" s="74" t="s">
        <v>1963</v>
      </c>
      <c r="V428" s="74" t="s">
        <v>411</v>
      </c>
      <c r="W428" s="74"/>
      <c r="Y428" s="74"/>
      <c r="Z428" s="74"/>
      <c r="AA428" s="74"/>
      <c r="AB428" s="74"/>
      <c r="AC428" s="74"/>
      <c r="AD428" s="74"/>
      <c r="AE428" s="74"/>
      <c r="AF428" s="74"/>
      <c r="AG428" s="74"/>
    </row>
    <row r="429">
      <c r="A429" s="73">
        <v>2023.0</v>
      </c>
      <c r="B429" s="73" t="s">
        <v>400</v>
      </c>
      <c r="C429" s="73">
        <v>16.0</v>
      </c>
      <c r="D429" s="74" t="s">
        <v>1958</v>
      </c>
      <c r="E429" s="74" t="s">
        <v>1410</v>
      </c>
      <c r="F429" s="73">
        <v>2.0</v>
      </c>
      <c r="G429" s="74" t="s">
        <v>1959</v>
      </c>
      <c r="H429" s="74" t="s">
        <v>1965</v>
      </c>
      <c r="I429" s="74" t="s">
        <v>1966</v>
      </c>
      <c r="J429" s="73">
        <v>21.0</v>
      </c>
      <c r="K429" s="73">
        <v>2.0</v>
      </c>
      <c r="L429" s="73">
        <v>2.0</v>
      </c>
      <c r="M429" s="73"/>
      <c r="N429" s="75">
        <v>0.45625</v>
      </c>
      <c r="O429" s="76" t="s">
        <v>1968</v>
      </c>
      <c r="P429" s="75">
        <v>0.4993055555555555</v>
      </c>
      <c r="Q429" s="75"/>
      <c r="S429" s="75"/>
      <c r="T429" s="76" t="s">
        <v>1847</v>
      </c>
      <c r="U429" s="74" t="s">
        <v>1969</v>
      </c>
      <c r="V429" s="74" t="s">
        <v>411</v>
      </c>
      <c r="W429" s="74"/>
      <c r="Y429" s="74"/>
      <c r="Z429" s="74"/>
      <c r="AA429" s="74"/>
      <c r="AB429" s="74"/>
      <c r="AC429" s="74"/>
      <c r="AD429" s="74"/>
      <c r="AE429" s="74"/>
      <c r="AF429" s="74"/>
      <c r="AG429" s="74"/>
    </row>
    <row r="430">
      <c r="A430" s="73">
        <v>2023.0</v>
      </c>
      <c r="B430" s="73" t="s">
        <v>400</v>
      </c>
      <c r="C430" s="73">
        <v>16.0</v>
      </c>
      <c r="D430" s="74" t="s">
        <v>1958</v>
      </c>
      <c r="E430" s="74" t="s">
        <v>1410</v>
      </c>
      <c r="F430" s="73">
        <v>3.0</v>
      </c>
      <c r="G430" s="74" t="s">
        <v>154</v>
      </c>
      <c r="H430" s="74" t="s">
        <v>1970</v>
      </c>
      <c r="I430" s="74" t="s">
        <v>1971</v>
      </c>
      <c r="J430" s="74" t="s">
        <v>1453</v>
      </c>
      <c r="K430" s="73">
        <v>3.0</v>
      </c>
      <c r="L430" s="73">
        <v>1.0</v>
      </c>
      <c r="M430" s="73"/>
      <c r="N430" s="75">
        <v>0.41944444444444445</v>
      </c>
      <c r="O430" s="76" t="s">
        <v>1696</v>
      </c>
      <c r="P430" s="75">
        <v>0.4597222222222222</v>
      </c>
      <c r="Q430" s="75"/>
      <c r="S430" s="75"/>
      <c r="T430" s="76" t="s">
        <v>586</v>
      </c>
      <c r="U430" s="74" t="s">
        <v>1972</v>
      </c>
      <c r="V430" s="74" t="s">
        <v>422</v>
      </c>
      <c r="W430" s="74"/>
      <c r="Y430" s="74"/>
      <c r="Z430" s="74"/>
      <c r="AA430" s="74"/>
      <c r="AB430" s="74"/>
      <c r="AC430" s="74"/>
      <c r="AD430" s="74"/>
      <c r="AE430" s="74"/>
      <c r="AF430" s="74"/>
      <c r="AG430" s="74"/>
    </row>
    <row r="431">
      <c r="A431" s="73">
        <v>2023.0</v>
      </c>
      <c r="B431" s="73" t="s">
        <v>400</v>
      </c>
      <c r="C431" s="73">
        <v>16.0</v>
      </c>
      <c r="D431" s="74" t="s">
        <v>1958</v>
      </c>
      <c r="E431" s="74" t="s">
        <v>1410</v>
      </c>
      <c r="F431" s="73">
        <v>3.0</v>
      </c>
      <c r="G431" s="74" t="s">
        <v>154</v>
      </c>
      <c r="H431" s="74" t="s">
        <v>1970</v>
      </c>
      <c r="I431" s="74" t="s">
        <v>1971</v>
      </c>
      <c r="J431" s="74" t="s">
        <v>1453</v>
      </c>
      <c r="K431" s="73">
        <v>3.0</v>
      </c>
      <c r="L431" s="73">
        <v>2.0</v>
      </c>
      <c r="M431" s="73"/>
      <c r="N431" s="75">
        <v>0.4597222222222222</v>
      </c>
      <c r="O431" s="76" t="s">
        <v>586</v>
      </c>
      <c r="P431" s="75">
        <v>0.5034722222222222</v>
      </c>
      <c r="Q431" s="75"/>
      <c r="S431" s="75"/>
      <c r="T431" s="76" t="s">
        <v>226</v>
      </c>
      <c r="U431" s="74" t="s">
        <v>1973</v>
      </c>
      <c r="V431" s="74" t="s">
        <v>411</v>
      </c>
      <c r="W431" s="74"/>
      <c r="Y431" s="74"/>
      <c r="Z431" s="74"/>
      <c r="AA431" s="74"/>
      <c r="AB431" s="74"/>
      <c r="AC431" s="74"/>
      <c r="AD431" s="74"/>
      <c r="AE431" s="74"/>
      <c r="AF431" s="74"/>
      <c r="AG431" s="74"/>
    </row>
    <row r="432">
      <c r="A432" s="73">
        <v>2023.0</v>
      </c>
      <c r="B432" s="73" t="s">
        <v>400</v>
      </c>
      <c r="C432" s="73">
        <v>16.0</v>
      </c>
      <c r="D432" s="74" t="s">
        <v>1958</v>
      </c>
      <c r="E432" s="74" t="s">
        <v>1410</v>
      </c>
      <c r="F432" s="73">
        <v>4.0</v>
      </c>
      <c r="G432" s="74" t="s">
        <v>154</v>
      </c>
      <c r="H432" s="74" t="s">
        <v>1974</v>
      </c>
      <c r="I432" s="74" t="s">
        <v>1975</v>
      </c>
      <c r="J432" s="74" t="s">
        <v>1976</v>
      </c>
      <c r="K432" s="73">
        <v>4.0</v>
      </c>
      <c r="L432" s="73">
        <v>1.0</v>
      </c>
      <c r="M432" s="73"/>
      <c r="N432" s="75">
        <v>0.4222222222222222</v>
      </c>
      <c r="O432" s="76" t="s">
        <v>1807</v>
      </c>
      <c r="P432" s="75">
        <v>0.4611111111111111</v>
      </c>
      <c r="Q432" s="75"/>
      <c r="S432" s="75"/>
      <c r="T432" s="76" t="s">
        <v>1227</v>
      </c>
      <c r="U432" s="74" t="s">
        <v>1963</v>
      </c>
      <c r="V432" s="74" t="s">
        <v>376</v>
      </c>
      <c r="W432" s="74"/>
      <c r="Y432" s="74"/>
      <c r="Z432" s="74"/>
      <c r="AA432" s="74"/>
      <c r="AB432" s="74"/>
      <c r="AC432" s="74"/>
      <c r="AD432" s="74"/>
      <c r="AE432" s="74"/>
      <c r="AF432" s="74"/>
      <c r="AG432" s="74"/>
    </row>
    <row r="433">
      <c r="A433" s="73">
        <v>2023.0</v>
      </c>
      <c r="B433" s="73" t="s">
        <v>400</v>
      </c>
      <c r="C433" s="73">
        <v>16.0</v>
      </c>
      <c r="D433" s="74" t="s">
        <v>1958</v>
      </c>
      <c r="E433" s="74" t="s">
        <v>1410</v>
      </c>
      <c r="F433" s="73">
        <v>4.0</v>
      </c>
      <c r="G433" s="74" t="s">
        <v>154</v>
      </c>
      <c r="H433" s="74" t="s">
        <v>1974</v>
      </c>
      <c r="I433" s="74" t="s">
        <v>1975</v>
      </c>
      <c r="J433" s="74" t="s">
        <v>1976</v>
      </c>
      <c r="K433" s="73">
        <v>4.0</v>
      </c>
      <c r="L433" s="73">
        <v>2.0</v>
      </c>
      <c r="M433" s="73"/>
      <c r="N433" s="75">
        <v>0.4611111111111111</v>
      </c>
      <c r="O433" s="76" t="s">
        <v>1227</v>
      </c>
      <c r="P433" s="75">
        <v>0.5055555555555555</v>
      </c>
      <c r="Q433" s="75"/>
      <c r="S433" s="75"/>
      <c r="T433" s="76" t="s">
        <v>1724</v>
      </c>
      <c r="U433" s="74" t="s">
        <v>1963</v>
      </c>
      <c r="V433" s="74" t="s">
        <v>376</v>
      </c>
      <c r="W433" s="74"/>
      <c r="Y433" s="74"/>
      <c r="Z433" s="74"/>
      <c r="AA433" s="74"/>
      <c r="AB433" s="74"/>
      <c r="AC433" s="74"/>
      <c r="AD433" s="74"/>
      <c r="AE433" s="74"/>
      <c r="AF433" s="74"/>
      <c r="AG433" s="74"/>
    </row>
    <row r="434">
      <c r="A434" s="73">
        <v>2023.0</v>
      </c>
      <c r="B434" s="73" t="s">
        <v>400</v>
      </c>
      <c r="C434" s="73">
        <v>16.0</v>
      </c>
      <c r="D434" s="74" t="s">
        <v>1958</v>
      </c>
      <c r="E434" s="74" t="s">
        <v>1410</v>
      </c>
      <c r="F434" s="73">
        <v>5.0</v>
      </c>
      <c r="G434" s="74" t="s">
        <v>1959</v>
      </c>
      <c r="H434" s="74" t="s">
        <v>1977</v>
      </c>
      <c r="I434" s="74" t="s">
        <v>1978</v>
      </c>
      <c r="J434" s="74" t="s">
        <v>1979</v>
      </c>
      <c r="K434" s="73">
        <v>5.0</v>
      </c>
      <c r="L434" s="73">
        <v>1.0</v>
      </c>
      <c r="M434" s="73"/>
      <c r="N434" s="75">
        <v>0.425</v>
      </c>
      <c r="O434" s="76" t="s">
        <v>1980</v>
      </c>
      <c r="P434" s="75">
        <v>0.46249999999999997</v>
      </c>
      <c r="Q434" s="75"/>
      <c r="S434" s="75"/>
      <c r="T434" s="76" t="s">
        <v>1679</v>
      </c>
      <c r="U434" s="74" t="s">
        <v>1972</v>
      </c>
      <c r="V434" s="74" t="s">
        <v>411</v>
      </c>
      <c r="W434" s="74"/>
      <c r="Y434" s="74"/>
      <c r="Z434" s="74"/>
      <c r="AA434" s="74"/>
      <c r="AB434" s="74"/>
      <c r="AC434" s="74"/>
      <c r="AD434" s="74"/>
      <c r="AE434" s="74"/>
      <c r="AF434" s="74"/>
      <c r="AG434" s="74"/>
    </row>
    <row r="435">
      <c r="A435" s="73">
        <v>2023.0</v>
      </c>
      <c r="B435" s="73" t="s">
        <v>400</v>
      </c>
      <c r="C435" s="73">
        <v>16.0</v>
      </c>
      <c r="D435" s="74" t="s">
        <v>1958</v>
      </c>
      <c r="E435" s="74" t="s">
        <v>1410</v>
      </c>
      <c r="F435" s="73">
        <v>5.0</v>
      </c>
      <c r="G435" s="74" t="s">
        <v>1959</v>
      </c>
      <c r="H435" s="74" t="s">
        <v>1977</v>
      </c>
      <c r="I435" s="74" t="s">
        <v>1978</v>
      </c>
      <c r="J435" s="74" t="s">
        <v>1979</v>
      </c>
      <c r="K435" s="73">
        <v>5.0</v>
      </c>
      <c r="L435" s="73">
        <v>2.0</v>
      </c>
      <c r="M435" s="73"/>
      <c r="N435" s="75">
        <v>0.46249999999999997</v>
      </c>
      <c r="O435" s="76" t="s">
        <v>1679</v>
      </c>
      <c r="P435" s="75">
        <v>0.5145833333333333</v>
      </c>
      <c r="Q435" s="75"/>
      <c r="S435" s="75"/>
      <c r="T435" s="76" t="s">
        <v>218</v>
      </c>
      <c r="U435" s="74" t="s">
        <v>1972</v>
      </c>
      <c r="V435" s="74" t="s">
        <v>411</v>
      </c>
      <c r="W435" s="74"/>
      <c r="Y435" s="74"/>
      <c r="Z435" s="74"/>
      <c r="AA435" s="74"/>
      <c r="AB435" s="74"/>
      <c r="AC435" s="74"/>
      <c r="AD435" s="74"/>
      <c r="AE435" s="74"/>
      <c r="AF435" s="74"/>
      <c r="AG435" s="74"/>
    </row>
    <row r="436">
      <c r="A436" s="73">
        <v>2023.0</v>
      </c>
      <c r="B436" s="73" t="s">
        <v>400</v>
      </c>
      <c r="C436" s="73">
        <v>16.0</v>
      </c>
      <c r="D436" s="74" t="s">
        <v>1958</v>
      </c>
      <c r="E436" s="74" t="s">
        <v>1410</v>
      </c>
      <c r="F436" s="73">
        <v>6.0</v>
      </c>
      <c r="G436" s="74" t="s">
        <v>1959</v>
      </c>
      <c r="H436" s="74" t="s">
        <v>1981</v>
      </c>
      <c r="I436" s="74" t="s">
        <v>1982</v>
      </c>
      <c r="J436" s="74" t="s">
        <v>1983</v>
      </c>
      <c r="K436" s="73">
        <v>6.0</v>
      </c>
      <c r="L436" s="73">
        <v>1.0</v>
      </c>
      <c r="M436" s="73"/>
      <c r="N436" s="75">
        <v>0.4284722222222222</v>
      </c>
      <c r="O436" s="76" t="s">
        <v>1820</v>
      </c>
      <c r="P436" s="75">
        <v>0.46527777777777773</v>
      </c>
      <c r="Q436" s="75"/>
      <c r="S436" s="75"/>
      <c r="T436" s="76" t="s">
        <v>1234</v>
      </c>
      <c r="U436" s="74" t="s">
        <v>1984</v>
      </c>
      <c r="V436" s="74" t="s">
        <v>411</v>
      </c>
      <c r="W436" s="74"/>
      <c r="Y436" s="74"/>
      <c r="Z436" s="74"/>
      <c r="AA436" s="74"/>
      <c r="AB436" s="74"/>
      <c r="AC436" s="74"/>
      <c r="AD436" s="74"/>
      <c r="AE436" s="74"/>
      <c r="AF436" s="74"/>
      <c r="AG436" s="74"/>
    </row>
    <row r="437">
      <c r="A437" s="73">
        <v>2023.0</v>
      </c>
      <c r="B437" s="73" t="s">
        <v>400</v>
      </c>
      <c r="C437" s="73">
        <v>16.0</v>
      </c>
      <c r="D437" s="74" t="s">
        <v>1958</v>
      </c>
      <c r="E437" s="74" t="s">
        <v>1410</v>
      </c>
      <c r="F437" s="73">
        <v>6.0</v>
      </c>
      <c r="G437" s="74" t="s">
        <v>1959</v>
      </c>
      <c r="H437" s="74" t="s">
        <v>1981</v>
      </c>
      <c r="I437" s="74" t="s">
        <v>1982</v>
      </c>
      <c r="J437" s="74" t="s">
        <v>1983</v>
      </c>
      <c r="K437" s="73">
        <v>6.0</v>
      </c>
      <c r="L437" s="73">
        <v>2.0</v>
      </c>
      <c r="M437" s="73"/>
      <c r="N437" s="75">
        <v>0.46527777777777773</v>
      </c>
      <c r="O437" s="76" t="s">
        <v>1234</v>
      </c>
      <c r="P437" s="75">
        <v>0.5180555555555556</v>
      </c>
      <c r="Q437" s="75"/>
      <c r="S437" s="75"/>
      <c r="T437" s="76" t="s">
        <v>1611</v>
      </c>
      <c r="U437" s="74" t="s">
        <v>1972</v>
      </c>
      <c r="V437" s="74" t="s">
        <v>376</v>
      </c>
      <c r="W437" s="74"/>
      <c r="Y437" s="74"/>
      <c r="Z437" s="74"/>
      <c r="AA437" s="74"/>
      <c r="AB437" s="74"/>
      <c r="AC437" s="74"/>
      <c r="AD437" s="74"/>
      <c r="AE437" s="74"/>
      <c r="AF437" s="74"/>
      <c r="AG437" s="74"/>
    </row>
    <row r="438">
      <c r="A438" s="73">
        <v>2023.0</v>
      </c>
      <c r="B438" s="73" t="s">
        <v>400</v>
      </c>
      <c r="C438" s="73">
        <v>16.0</v>
      </c>
      <c r="D438" s="74" t="s">
        <v>1958</v>
      </c>
      <c r="E438" s="74" t="s">
        <v>1410</v>
      </c>
      <c r="F438" s="73">
        <v>7.0</v>
      </c>
      <c r="G438" s="74" t="s">
        <v>1959</v>
      </c>
      <c r="H438" s="74" t="s">
        <v>1985</v>
      </c>
      <c r="I438" s="74" t="s">
        <v>1986</v>
      </c>
      <c r="J438" s="73">
        <v>25.0</v>
      </c>
      <c r="K438" s="73">
        <v>1.0</v>
      </c>
      <c r="L438" s="73">
        <v>1.0</v>
      </c>
      <c r="M438" s="73"/>
      <c r="N438" s="75">
        <v>0.49722222222222223</v>
      </c>
      <c r="O438" s="76" t="s">
        <v>1822</v>
      </c>
      <c r="P438" s="75">
        <v>0.5388888888888889</v>
      </c>
      <c r="Q438" s="75"/>
      <c r="S438" s="75"/>
      <c r="T438" s="76" t="s">
        <v>1987</v>
      </c>
      <c r="U438" s="74" t="s">
        <v>1411</v>
      </c>
      <c r="V438" s="74" t="s">
        <v>1594</v>
      </c>
      <c r="W438" s="74"/>
      <c r="Y438" s="74"/>
      <c r="Z438" s="74"/>
      <c r="AA438" s="74"/>
      <c r="AB438" s="74"/>
      <c r="AC438" s="74"/>
      <c r="AD438" s="74"/>
      <c r="AE438" s="74"/>
      <c r="AF438" s="74"/>
      <c r="AG438" s="74"/>
    </row>
    <row r="439">
      <c r="A439" s="73">
        <v>2023.0</v>
      </c>
      <c r="B439" s="73" t="s">
        <v>400</v>
      </c>
      <c r="C439" s="73">
        <v>16.0</v>
      </c>
      <c r="D439" s="74" t="s">
        <v>1958</v>
      </c>
      <c r="E439" s="74" t="s">
        <v>1410</v>
      </c>
      <c r="F439" s="73">
        <v>7.0</v>
      </c>
      <c r="G439" s="74" t="s">
        <v>1959</v>
      </c>
      <c r="H439" s="74" t="s">
        <v>1985</v>
      </c>
      <c r="I439" s="74" t="s">
        <v>1986</v>
      </c>
      <c r="J439" s="73">
        <v>25.0</v>
      </c>
      <c r="K439" s="73">
        <v>1.0</v>
      </c>
      <c r="L439" s="73">
        <v>2.0</v>
      </c>
      <c r="M439" s="73"/>
      <c r="N439" s="75">
        <v>0.5388888888888889</v>
      </c>
      <c r="O439" s="76" t="s">
        <v>1987</v>
      </c>
      <c r="P439" s="75">
        <v>0.5791666666666667</v>
      </c>
      <c r="Q439" s="75"/>
      <c r="S439" s="75"/>
      <c r="T439" s="76" t="s">
        <v>1849</v>
      </c>
      <c r="U439" s="74" t="s">
        <v>1988</v>
      </c>
      <c r="V439" s="74" t="s">
        <v>376</v>
      </c>
      <c r="W439" s="74"/>
      <c r="Y439" s="74"/>
      <c r="Z439" s="74"/>
      <c r="AA439" s="74"/>
      <c r="AB439" s="74"/>
      <c r="AC439" s="74"/>
      <c r="AD439" s="74"/>
      <c r="AE439" s="74"/>
      <c r="AF439" s="74"/>
      <c r="AG439" s="74"/>
    </row>
    <row r="440">
      <c r="A440" s="73">
        <v>2023.0</v>
      </c>
      <c r="B440" s="73" t="s">
        <v>400</v>
      </c>
      <c r="C440" s="73">
        <v>16.0</v>
      </c>
      <c r="D440" s="74" t="s">
        <v>1958</v>
      </c>
      <c r="E440" s="74" t="s">
        <v>1410</v>
      </c>
      <c r="F440" s="73">
        <v>7.0</v>
      </c>
      <c r="G440" s="74" t="s">
        <v>1959</v>
      </c>
      <c r="H440" s="74" t="s">
        <v>1985</v>
      </c>
      <c r="I440" s="74" t="s">
        <v>1986</v>
      </c>
      <c r="J440" s="73">
        <v>25.0</v>
      </c>
      <c r="K440" s="73">
        <v>1.0</v>
      </c>
      <c r="L440" s="73">
        <v>3.0</v>
      </c>
      <c r="M440" s="73"/>
      <c r="N440" s="75">
        <v>0.5791666666666667</v>
      </c>
      <c r="O440" s="76" t="s">
        <v>1849</v>
      </c>
      <c r="P440" s="75">
        <v>0.6416666666666667</v>
      </c>
      <c r="Q440" s="75"/>
      <c r="S440" s="75"/>
      <c r="T440" s="76" t="s">
        <v>1905</v>
      </c>
      <c r="U440" s="74" t="s">
        <v>1988</v>
      </c>
      <c r="V440" s="74" t="s">
        <v>422</v>
      </c>
      <c r="W440" s="74"/>
      <c r="Y440" s="74"/>
      <c r="Z440" s="74"/>
      <c r="AA440" s="74"/>
      <c r="AB440" s="74"/>
      <c r="AC440" s="74"/>
      <c r="AD440" s="74"/>
      <c r="AE440" s="74"/>
      <c r="AF440" s="74"/>
      <c r="AG440" s="74"/>
    </row>
    <row r="441">
      <c r="A441" s="73">
        <v>2023.0</v>
      </c>
      <c r="B441" s="73" t="s">
        <v>400</v>
      </c>
      <c r="C441" s="73">
        <v>16.0</v>
      </c>
      <c r="D441" s="74" t="s">
        <v>1958</v>
      </c>
      <c r="E441" s="74" t="s">
        <v>1410</v>
      </c>
      <c r="F441" s="73">
        <v>8.0</v>
      </c>
      <c r="G441" s="74" t="s">
        <v>1959</v>
      </c>
      <c r="H441" s="74" t="s">
        <v>1989</v>
      </c>
      <c r="I441" s="74" t="s">
        <v>1990</v>
      </c>
      <c r="J441" s="73">
        <v>25.0</v>
      </c>
      <c r="K441" s="73">
        <v>2.0</v>
      </c>
      <c r="L441" s="73">
        <v>1.0</v>
      </c>
      <c r="M441" s="73"/>
      <c r="N441" s="75">
        <v>0.5013888888888889</v>
      </c>
      <c r="O441" s="76" t="s">
        <v>1941</v>
      </c>
      <c r="P441" s="75">
        <v>0.5513888888888888</v>
      </c>
      <c r="Q441" s="75"/>
      <c r="S441" s="75"/>
      <c r="T441" s="76" t="s">
        <v>1767</v>
      </c>
      <c r="U441" s="74" t="s">
        <v>1973</v>
      </c>
      <c r="V441" s="74" t="s">
        <v>376</v>
      </c>
      <c r="W441" s="74"/>
      <c r="Y441" s="74"/>
      <c r="Z441" s="74"/>
      <c r="AA441" s="74"/>
      <c r="AB441" s="74"/>
      <c r="AC441" s="74"/>
      <c r="AD441" s="74"/>
      <c r="AE441" s="74"/>
      <c r="AF441" s="74"/>
      <c r="AG441" s="74"/>
    </row>
    <row r="442">
      <c r="A442" s="73">
        <v>2023.0</v>
      </c>
      <c r="B442" s="73" t="s">
        <v>400</v>
      </c>
      <c r="C442" s="73">
        <v>16.0</v>
      </c>
      <c r="D442" s="74" t="s">
        <v>1958</v>
      </c>
      <c r="E442" s="74" t="s">
        <v>1410</v>
      </c>
      <c r="F442" s="73">
        <v>8.0</v>
      </c>
      <c r="G442" s="74" t="s">
        <v>1959</v>
      </c>
      <c r="H442" s="74" t="s">
        <v>1989</v>
      </c>
      <c r="I442" s="74" t="s">
        <v>1990</v>
      </c>
      <c r="J442" s="73">
        <v>25.0</v>
      </c>
      <c r="K442" s="73">
        <v>2.0</v>
      </c>
      <c r="L442" s="73">
        <v>2.0</v>
      </c>
      <c r="M442" s="73"/>
      <c r="N442" s="75">
        <v>0.5513888888888888</v>
      </c>
      <c r="O442" s="76" t="s">
        <v>1767</v>
      </c>
      <c r="P442" s="75">
        <v>0.5805555555555556</v>
      </c>
      <c r="Q442" s="75"/>
      <c r="S442" s="75"/>
      <c r="T442" s="76" t="s">
        <v>1991</v>
      </c>
      <c r="U442" s="74" t="s">
        <v>1963</v>
      </c>
      <c r="V442" s="74" t="s">
        <v>376</v>
      </c>
      <c r="W442" s="74"/>
      <c r="Y442" s="74"/>
      <c r="Z442" s="74"/>
      <c r="AA442" s="74"/>
      <c r="AB442" s="74"/>
      <c r="AC442" s="74"/>
      <c r="AD442" s="74"/>
      <c r="AE442" s="74"/>
      <c r="AF442" s="74"/>
      <c r="AG442" s="74"/>
    </row>
    <row r="443">
      <c r="A443" s="73">
        <v>2023.0</v>
      </c>
      <c r="B443" s="73" t="s">
        <v>400</v>
      </c>
      <c r="C443" s="73">
        <v>16.0</v>
      </c>
      <c r="D443" s="74" t="s">
        <v>1958</v>
      </c>
      <c r="E443" s="74" t="s">
        <v>1410</v>
      </c>
      <c r="F443" s="73">
        <v>8.0</v>
      </c>
      <c r="G443" s="74" t="s">
        <v>1959</v>
      </c>
      <c r="H443" s="74" t="s">
        <v>1989</v>
      </c>
      <c r="I443" s="74" t="s">
        <v>1990</v>
      </c>
      <c r="J443" s="73">
        <v>25.0</v>
      </c>
      <c r="K443" s="73">
        <v>2.0</v>
      </c>
      <c r="L443" s="73">
        <v>3.0</v>
      </c>
      <c r="M443" s="73"/>
      <c r="N443" s="75">
        <v>0.5805555555555556</v>
      </c>
      <c r="O443" s="76" t="s">
        <v>1991</v>
      </c>
      <c r="P443" s="75">
        <v>0.6437499999999999</v>
      </c>
      <c r="Q443" s="75"/>
      <c r="S443" s="75"/>
      <c r="T443" s="76" t="s">
        <v>1309</v>
      </c>
      <c r="U443" s="74" t="s">
        <v>1973</v>
      </c>
      <c r="V443" s="74" t="s">
        <v>376</v>
      </c>
      <c r="W443" s="74"/>
      <c r="Y443" s="74"/>
      <c r="Z443" s="74"/>
      <c r="AA443" s="74"/>
      <c r="AB443" s="74"/>
      <c r="AC443" s="74"/>
      <c r="AD443" s="74"/>
      <c r="AE443" s="74"/>
      <c r="AF443" s="74"/>
      <c r="AG443" s="74"/>
    </row>
    <row r="444">
      <c r="A444" s="73">
        <v>2023.0</v>
      </c>
      <c r="B444" s="73" t="s">
        <v>400</v>
      </c>
      <c r="C444" s="73">
        <v>16.0</v>
      </c>
      <c r="D444" s="74" t="s">
        <v>1958</v>
      </c>
      <c r="E444" s="74" t="s">
        <v>1410</v>
      </c>
      <c r="F444" s="73">
        <v>9.0</v>
      </c>
      <c r="G444" s="74" t="s">
        <v>154</v>
      </c>
      <c r="H444" s="74" t="s">
        <v>1970</v>
      </c>
      <c r="I444" s="74" t="s">
        <v>1971</v>
      </c>
      <c r="J444" s="74" t="s">
        <v>1453</v>
      </c>
      <c r="K444" s="73">
        <v>3.0</v>
      </c>
      <c r="L444" s="73">
        <v>1.0</v>
      </c>
      <c r="M444" s="73"/>
      <c r="N444" s="75">
        <v>0.5041666666666667</v>
      </c>
      <c r="O444" s="76" t="s">
        <v>1857</v>
      </c>
      <c r="P444" s="75">
        <v>0.5548611111111111</v>
      </c>
      <c r="Q444" s="75"/>
      <c r="S444" s="75"/>
      <c r="T444" s="76" t="s">
        <v>1992</v>
      </c>
      <c r="U444" s="74" t="s">
        <v>1973</v>
      </c>
      <c r="V444" s="74" t="s">
        <v>422</v>
      </c>
      <c r="W444" s="74"/>
      <c r="Y444" s="74"/>
      <c r="Z444" s="74"/>
      <c r="AA444" s="74"/>
      <c r="AB444" s="74"/>
      <c r="AC444" s="74"/>
      <c r="AD444" s="74"/>
      <c r="AE444" s="74"/>
      <c r="AF444" s="74"/>
      <c r="AG444" s="74"/>
    </row>
    <row r="445">
      <c r="A445" s="73">
        <v>2023.0</v>
      </c>
      <c r="B445" s="73" t="s">
        <v>400</v>
      </c>
      <c r="C445" s="73">
        <v>16.0</v>
      </c>
      <c r="D445" s="74" t="s">
        <v>1958</v>
      </c>
      <c r="E445" s="74" t="s">
        <v>1410</v>
      </c>
      <c r="F445" s="73">
        <v>9.0</v>
      </c>
      <c r="G445" s="74" t="s">
        <v>154</v>
      </c>
      <c r="H445" s="74" t="s">
        <v>1970</v>
      </c>
      <c r="I445" s="74" t="s">
        <v>1971</v>
      </c>
      <c r="J445" s="74" t="s">
        <v>1453</v>
      </c>
      <c r="K445" s="73">
        <v>3.0</v>
      </c>
      <c r="L445" s="73">
        <v>2.0</v>
      </c>
      <c r="M445" s="73"/>
      <c r="N445" s="75">
        <v>0.5548611111111111</v>
      </c>
      <c r="O445" s="76" t="s">
        <v>1992</v>
      </c>
      <c r="P445" s="75">
        <v>0.5840277777777778</v>
      </c>
      <c r="Q445" s="75"/>
      <c r="S445" s="75"/>
      <c r="T445" s="76" t="s">
        <v>1993</v>
      </c>
      <c r="U445" s="74" t="s">
        <v>1411</v>
      </c>
      <c r="V445" s="74" t="s">
        <v>376</v>
      </c>
      <c r="W445" s="74"/>
      <c r="Y445" s="74"/>
      <c r="Z445" s="74"/>
      <c r="AA445" s="74"/>
      <c r="AB445" s="74"/>
      <c r="AC445" s="74"/>
      <c r="AD445" s="74"/>
      <c r="AE445" s="74"/>
      <c r="AF445" s="74"/>
      <c r="AG445" s="74"/>
    </row>
    <row r="446">
      <c r="A446" s="73">
        <v>2023.0</v>
      </c>
      <c r="B446" s="73" t="s">
        <v>400</v>
      </c>
      <c r="C446" s="73">
        <v>16.0</v>
      </c>
      <c r="D446" s="74" t="s">
        <v>1958</v>
      </c>
      <c r="E446" s="74" t="s">
        <v>1410</v>
      </c>
      <c r="F446" s="73">
        <v>9.0</v>
      </c>
      <c r="G446" s="74" t="s">
        <v>154</v>
      </c>
      <c r="H446" s="74" t="s">
        <v>1970</v>
      </c>
      <c r="I446" s="74" t="s">
        <v>1971</v>
      </c>
      <c r="J446" s="74" t="s">
        <v>1453</v>
      </c>
      <c r="K446" s="73">
        <v>3.0</v>
      </c>
      <c r="L446" s="73">
        <v>3.0</v>
      </c>
      <c r="M446" s="73"/>
      <c r="N446" s="75">
        <v>0.5840277777777778</v>
      </c>
      <c r="O446" s="76" t="s">
        <v>1993</v>
      </c>
      <c r="P446" s="75">
        <v>0.6472222222222223</v>
      </c>
      <c r="Q446" s="75"/>
      <c r="S446" s="75"/>
      <c r="T446" s="76" t="s">
        <v>1347</v>
      </c>
      <c r="U446" s="74" t="s">
        <v>1411</v>
      </c>
      <c r="V446" s="74" t="s">
        <v>376</v>
      </c>
      <c r="W446" s="74"/>
      <c r="Y446" s="74"/>
      <c r="Z446" s="74"/>
      <c r="AA446" s="74"/>
      <c r="AB446" s="74"/>
      <c r="AC446" s="74"/>
      <c r="AD446" s="74"/>
      <c r="AE446" s="74"/>
      <c r="AF446" s="74"/>
      <c r="AG446" s="74"/>
    </row>
    <row r="447">
      <c r="A447" s="73">
        <v>2023.0</v>
      </c>
      <c r="B447" s="73" t="s">
        <v>400</v>
      </c>
      <c r="C447" s="73">
        <v>16.0</v>
      </c>
      <c r="D447" s="74" t="s">
        <v>1958</v>
      </c>
      <c r="E447" s="74" t="s">
        <v>1410</v>
      </c>
      <c r="F447" s="73">
        <v>10.0</v>
      </c>
      <c r="G447" s="74" t="s">
        <v>1959</v>
      </c>
      <c r="H447" s="74" t="s">
        <v>1977</v>
      </c>
      <c r="I447" s="74" t="s">
        <v>1975</v>
      </c>
      <c r="J447" s="74" t="s">
        <v>1979</v>
      </c>
      <c r="K447" s="73">
        <v>4.0</v>
      </c>
      <c r="L447" s="73">
        <v>1.0</v>
      </c>
      <c r="M447" s="73"/>
      <c r="N447" s="75">
        <v>0.5159722222222222</v>
      </c>
      <c r="O447" s="76" t="s">
        <v>1994</v>
      </c>
      <c r="P447" s="75">
        <v>0.5555555555555556</v>
      </c>
      <c r="Q447" s="75"/>
      <c r="S447" s="75"/>
      <c r="T447" s="76" t="s">
        <v>1929</v>
      </c>
      <c r="U447" s="74" t="s">
        <v>1995</v>
      </c>
      <c r="V447" s="74" t="s">
        <v>376</v>
      </c>
      <c r="W447" s="74"/>
      <c r="Y447" s="74"/>
      <c r="Z447" s="74"/>
      <c r="AA447" s="74"/>
      <c r="AB447" s="74"/>
      <c r="AC447" s="74"/>
      <c r="AD447" s="74"/>
      <c r="AE447" s="74"/>
      <c r="AF447" s="74"/>
      <c r="AG447" s="74"/>
    </row>
    <row r="448">
      <c r="A448" s="73">
        <v>2023.0</v>
      </c>
      <c r="B448" s="73" t="s">
        <v>400</v>
      </c>
      <c r="C448" s="73">
        <v>16.0</v>
      </c>
      <c r="D448" s="74" t="s">
        <v>1958</v>
      </c>
      <c r="E448" s="74" t="s">
        <v>1410</v>
      </c>
      <c r="F448" s="73">
        <v>10.0</v>
      </c>
      <c r="G448" s="74" t="s">
        <v>1959</v>
      </c>
      <c r="H448" s="74" t="s">
        <v>1977</v>
      </c>
      <c r="I448" s="74" t="s">
        <v>1975</v>
      </c>
      <c r="J448" s="74" t="s">
        <v>1979</v>
      </c>
      <c r="K448" s="73">
        <v>4.0</v>
      </c>
      <c r="L448" s="73">
        <v>2.0</v>
      </c>
      <c r="M448" s="73"/>
      <c r="N448" s="75">
        <v>0.5555555555555556</v>
      </c>
      <c r="O448" s="76" t="s">
        <v>1929</v>
      </c>
      <c r="P448" s="75">
        <v>0.5854166666666667</v>
      </c>
      <c r="Q448" s="75"/>
      <c r="S448" s="75"/>
      <c r="T448" s="76" t="s">
        <v>676</v>
      </c>
      <c r="U448" s="74" t="s">
        <v>1995</v>
      </c>
      <c r="V448" s="74" t="s">
        <v>376</v>
      </c>
      <c r="W448" s="74"/>
      <c r="Y448" s="74"/>
      <c r="Z448" s="74"/>
      <c r="AA448" s="74"/>
      <c r="AB448" s="74"/>
      <c r="AC448" s="74"/>
      <c r="AD448" s="74"/>
      <c r="AE448" s="74"/>
      <c r="AF448" s="74"/>
      <c r="AG448" s="74"/>
    </row>
    <row r="449">
      <c r="A449" s="73">
        <v>2023.0</v>
      </c>
      <c r="B449" s="73" t="s">
        <v>400</v>
      </c>
      <c r="C449" s="73">
        <v>16.0</v>
      </c>
      <c r="D449" s="74" t="s">
        <v>1958</v>
      </c>
      <c r="E449" s="74" t="s">
        <v>1410</v>
      </c>
      <c r="F449" s="73">
        <v>10.0</v>
      </c>
      <c r="G449" s="74" t="s">
        <v>1959</v>
      </c>
      <c r="H449" s="74" t="s">
        <v>1977</v>
      </c>
      <c r="I449" s="74" t="s">
        <v>1975</v>
      </c>
      <c r="J449" s="74" t="s">
        <v>1979</v>
      </c>
      <c r="K449" s="73">
        <v>4.0</v>
      </c>
      <c r="L449" s="73">
        <v>3.0</v>
      </c>
      <c r="M449" s="73"/>
      <c r="N449" s="75">
        <v>0.5854166666666667</v>
      </c>
      <c r="O449" s="76" t="s">
        <v>676</v>
      </c>
      <c r="P449" s="75">
        <v>0.65</v>
      </c>
      <c r="Q449" s="75"/>
      <c r="S449" s="75"/>
      <c r="T449" s="76" t="s">
        <v>1802</v>
      </c>
      <c r="U449" s="74" t="s">
        <v>1995</v>
      </c>
      <c r="V449" s="74" t="s">
        <v>376</v>
      </c>
      <c r="W449" s="74"/>
      <c r="Y449" s="74"/>
      <c r="Z449" s="74"/>
      <c r="AA449" s="74"/>
      <c r="AB449" s="74"/>
      <c r="AC449" s="74"/>
      <c r="AD449" s="74"/>
      <c r="AE449" s="74"/>
      <c r="AF449" s="74"/>
      <c r="AG449" s="74"/>
    </row>
    <row r="450">
      <c r="A450" s="73">
        <v>2023.0</v>
      </c>
      <c r="B450" s="73" t="s">
        <v>400</v>
      </c>
      <c r="C450" s="73">
        <v>16.0</v>
      </c>
      <c r="D450" s="74" t="s">
        <v>1958</v>
      </c>
      <c r="E450" s="74" t="s">
        <v>1410</v>
      </c>
      <c r="F450" s="73">
        <v>11.0</v>
      </c>
      <c r="G450" s="74" t="s">
        <v>1959</v>
      </c>
      <c r="H450" s="74" t="s">
        <v>1996</v>
      </c>
      <c r="I450" s="74" t="s">
        <v>1997</v>
      </c>
      <c r="J450" s="73">
        <v>31.0</v>
      </c>
      <c r="K450" s="73">
        <v>5.0</v>
      </c>
      <c r="L450" s="73">
        <v>1.0</v>
      </c>
      <c r="M450" s="73"/>
      <c r="N450" s="75">
        <v>0.5229166666666667</v>
      </c>
      <c r="O450" s="76" t="s">
        <v>1998</v>
      </c>
      <c r="P450" s="75">
        <v>0.5590277777777778</v>
      </c>
      <c r="Q450" s="75"/>
      <c r="S450" s="75"/>
      <c r="T450" s="76" t="s">
        <v>1999</v>
      </c>
      <c r="U450" s="74" t="s">
        <v>1972</v>
      </c>
      <c r="V450" s="74" t="s">
        <v>376</v>
      </c>
      <c r="W450" s="74"/>
      <c r="Y450" s="74"/>
      <c r="Z450" s="74"/>
      <c r="AA450" s="74"/>
      <c r="AB450" s="74"/>
      <c r="AC450" s="74"/>
      <c r="AD450" s="74"/>
      <c r="AE450" s="74"/>
      <c r="AF450" s="74"/>
      <c r="AG450" s="74"/>
    </row>
    <row r="451">
      <c r="A451" s="73">
        <v>2023.0</v>
      </c>
      <c r="B451" s="73" t="s">
        <v>400</v>
      </c>
      <c r="C451" s="73">
        <v>16.0</v>
      </c>
      <c r="D451" s="74" t="s">
        <v>1958</v>
      </c>
      <c r="E451" s="74" t="s">
        <v>1410</v>
      </c>
      <c r="F451" s="73">
        <v>11.0</v>
      </c>
      <c r="G451" s="74" t="s">
        <v>1959</v>
      </c>
      <c r="H451" s="74" t="s">
        <v>1996</v>
      </c>
      <c r="I451" s="74" t="s">
        <v>1997</v>
      </c>
      <c r="J451" s="73">
        <v>31.0</v>
      </c>
      <c r="K451" s="73">
        <v>5.0</v>
      </c>
      <c r="L451" s="73">
        <v>2.0</v>
      </c>
      <c r="M451" s="73"/>
      <c r="N451" s="75">
        <v>0.5590277777777778</v>
      </c>
      <c r="O451" s="76" t="s">
        <v>1999</v>
      </c>
      <c r="P451" s="75">
        <v>0.5902777777777778</v>
      </c>
      <c r="Q451" s="75"/>
      <c r="S451" s="75"/>
      <c r="T451" s="76" t="s">
        <v>1796</v>
      </c>
      <c r="U451" s="74" t="s">
        <v>1972</v>
      </c>
      <c r="V451" s="74" t="s">
        <v>376</v>
      </c>
      <c r="W451" s="74"/>
      <c r="Y451" s="74"/>
      <c r="Z451" s="74"/>
      <c r="AA451" s="74"/>
      <c r="AB451" s="74"/>
      <c r="AC451" s="74"/>
      <c r="AD451" s="74"/>
      <c r="AE451" s="74"/>
      <c r="AF451" s="74"/>
      <c r="AG451" s="74"/>
    </row>
    <row r="452">
      <c r="A452" s="73">
        <v>2023.0</v>
      </c>
      <c r="B452" s="73" t="s">
        <v>400</v>
      </c>
      <c r="C452" s="73">
        <v>16.0</v>
      </c>
      <c r="D452" s="74" t="s">
        <v>1958</v>
      </c>
      <c r="E452" s="74" t="s">
        <v>1410</v>
      </c>
      <c r="F452" s="73">
        <v>11.0</v>
      </c>
      <c r="G452" s="74" t="s">
        <v>1959</v>
      </c>
      <c r="H452" s="74" t="s">
        <v>1996</v>
      </c>
      <c r="I452" s="74" t="s">
        <v>1997</v>
      </c>
      <c r="J452" s="73">
        <v>31.0</v>
      </c>
      <c r="K452" s="73">
        <v>5.0</v>
      </c>
      <c r="L452" s="73">
        <v>3.0</v>
      </c>
      <c r="M452" s="73"/>
      <c r="N452" s="75">
        <v>0.5902777777777778</v>
      </c>
      <c r="O452" s="76" t="s">
        <v>1796</v>
      </c>
      <c r="P452" s="75">
        <v>0.6534722222222222</v>
      </c>
      <c r="Q452" s="75"/>
      <c r="S452" s="75"/>
      <c r="T452" s="76" t="s">
        <v>2000</v>
      </c>
      <c r="U452" s="74" t="s">
        <v>1972</v>
      </c>
      <c r="V452" s="74" t="s">
        <v>376</v>
      </c>
      <c r="W452" s="74"/>
      <c r="Y452" s="74"/>
      <c r="Z452" s="74"/>
      <c r="AA452" s="74"/>
      <c r="AB452" s="74"/>
      <c r="AC452" s="74"/>
      <c r="AD452" s="74"/>
      <c r="AE452" s="74"/>
      <c r="AF452" s="74"/>
      <c r="AG452" s="74"/>
    </row>
    <row r="453">
      <c r="A453" s="73">
        <v>2023.0</v>
      </c>
      <c r="B453" s="73" t="s">
        <v>400</v>
      </c>
      <c r="C453" s="73">
        <v>16.0</v>
      </c>
      <c r="D453" s="74" t="s">
        <v>1958</v>
      </c>
      <c r="E453" s="74" t="s">
        <v>1410</v>
      </c>
      <c r="F453" s="73">
        <v>12.0</v>
      </c>
      <c r="G453" s="74" t="s">
        <v>154</v>
      </c>
      <c r="H453" s="74" t="s">
        <v>2001</v>
      </c>
      <c r="I453" s="74" t="s">
        <v>2002</v>
      </c>
      <c r="J453" s="73">
        <v>25.0</v>
      </c>
      <c r="K453" s="73">
        <v>6.0</v>
      </c>
      <c r="L453" s="73">
        <v>1.0</v>
      </c>
      <c r="M453" s="73"/>
      <c r="N453" s="75">
        <v>0.5111111111111112</v>
      </c>
      <c r="O453" s="76" t="s">
        <v>2003</v>
      </c>
      <c r="P453" s="75">
        <v>0.5625</v>
      </c>
      <c r="Q453" s="75"/>
      <c r="S453" s="75"/>
      <c r="T453" s="76" t="s">
        <v>2004</v>
      </c>
      <c r="U453" s="74" t="s">
        <v>1963</v>
      </c>
      <c r="V453" s="74" t="s">
        <v>376</v>
      </c>
      <c r="W453" s="74"/>
      <c r="Y453" s="74"/>
      <c r="Z453" s="74"/>
      <c r="AA453" s="74"/>
      <c r="AB453" s="74"/>
      <c r="AC453" s="74"/>
      <c r="AD453" s="74"/>
      <c r="AE453" s="74"/>
      <c r="AF453" s="74"/>
      <c r="AG453" s="74"/>
    </row>
    <row r="454">
      <c r="A454" s="73">
        <v>2023.0</v>
      </c>
      <c r="B454" s="73" t="s">
        <v>400</v>
      </c>
      <c r="C454" s="73">
        <v>16.0</v>
      </c>
      <c r="D454" s="74" t="s">
        <v>1958</v>
      </c>
      <c r="E454" s="74" t="s">
        <v>1410</v>
      </c>
      <c r="F454" s="73">
        <v>12.0</v>
      </c>
      <c r="G454" s="74" t="s">
        <v>154</v>
      </c>
      <c r="H454" s="74" t="s">
        <v>2001</v>
      </c>
      <c r="I454" s="74" t="s">
        <v>2002</v>
      </c>
      <c r="J454" s="73">
        <v>25.0</v>
      </c>
      <c r="K454" s="73">
        <v>6.0</v>
      </c>
      <c r="L454" s="73">
        <v>2.0</v>
      </c>
      <c r="M454" s="73"/>
      <c r="N454" s="75">
        <v>0.5625</v>
      </c>
      <c r="O454" s="76" t="s">
        <v>2004</v>
      </c>
      <c r="P454" s="75">
        <v>0.5944444444444444</v>
      </c>
      <c r="Q454" s="75"/>
      <c r="S454" s="75"/>
      <c r="T454" s="76" t="s">
        <v>1876</v>
      </c>
      <c r="U454" s="74" t="s">
        <v>1963</v>
      </c>
      <c r="V454" s="74" t="s">
        <v>376</v>
      </c>
      <c r="W454" s="74"/>
      <c r="Y454" s="74"/>
      <c r="Z454" s="74"/>
      <c r="AA454" s="74"/>
      <c r="AB454" s="74"/>
      <c r="AC454" s="74"/>
      <c r="AD454" s="74"/>
      <c r="AE454" s="74"/>
      <c r="AF454" s="74"/>
      <c r="AG454" s="74"/>
    </row>
    <row r="455">
      <c r="A455" s="73">
        <v>2023.0</v>
      </c>
      <c r="B455" s="73" t="s">
        <v>400</v>
      </c>
      <c r="C455" s="73">
        <v>16.0</v>
      </c>
      <c r="D455" s="74" t="s">
        <v>1958</v>
      </c>
      <c r="E455" s="74" t="s">
        <v>1410</v>
      </c>
      <c r="F455" s="73">
        <v>12.0</v>
      </c>
      <c r="G455" s="74" t="s">
        <v>154</v>
      </c>
      <c r="H455" s="74" t="s">
        <v>2001</v>
      </c>
      <c r="I455" s="74" t="s">
        <v>2002</v>
      </c>
      <c r="J455" s="73">
        <v>25.0</v>
      </c>
      <c r="K455" s="73">
        <v>6.0</v>
      </c>
      <c r="L455" s="73">
        <v>3.0</v>
      </c>
      <c r="M455" s="73"/>
      <c r="N455" s="75">
        <v>0.5944444444444444</v>
      </c>
      <c r="O455" s="76" t="s">
        <v>1876</v>
      </c>
      <c r="P455" s="75">
        <v>0.6569444444444444</v>
      </c>
      <c r="Q455" s="75"/>
      <c r="S455" s="75"/>
      <c r="T455" s="76" t="s">
        <v>698</v>
      </c>
      <c r="U455" s="74" t="s">
        <v>1963</v>
      </c>
      <c r="V455" s="74" t="s">
        <v>376</v>
      </c>
      <c r="W455" s="74"/>
      <c r="Y455" s="74"/>
      <c r="Z455" s="74"/>
      <c r="AA455" s="74"/>
      <c r="AB455" s="74"/>
      <c r="AC455" s="74"/>
      <c r="AD455" s="74"/>
      <c r="AE455" s="74"/>
      <c r="AF455" s="74"/>
      <c r="AG455" s="74"/>
    </row>
    <row r="456">
      <c r="A456" s="73">
        <v>2023.0</v>
      </c>
      <c r="B456" s="73" t="s">
        <v>400</v>
      </c>
      <c r="C456" s="73">
        <v>20.0</v>
      </c>
      <c r="D456" s="74" t="s">
        <v>19</v>
      </c>
      <c r="E456" s="74" t="s">
        <v>50</v>
      </c>
      <c r="F456" s="74" t="s">
        <v>1426</v>
      </c>
      <c r="G456" s="74" t="s">
        <v>154</v>
      </c>
      <c r="H456" s="74" t="s">
        <v>2005</v>
      </c>
      <c r="I456" s="74" t="s">
        <v>2006</v>
      </c>
      <c r="J456" s="73">
        <v>17.0</v>
      </c>
      <c r="K456" s="73">
        <v>1.0</v>
      </c>
      <c r="L456" s="73">
        <v>1.0</v>
      </c>
      <c r="M456" s="73"/>
      <c r="N456" s="75">
        <v>0.32083333333333336</v>
      </c>
      <c r="O456" s="76" t="s">
        <v>1571</v>
      </c>
      <c r="P456" s="75">
        <v>0.41041666666666665</v>
      </c>
      <c r="Q456" s="75"/>
      <c r="S456" s="75"/>
      <c r="T456" s="76" t="s">
        <v>2007</v>
      </c>
      <c r="U456" s="74" t="s">
        <v>267</v>
      </c>
      <c r="V456" s="74" t="s">
        <v>2008</v>
      </c>
      <c r="W456" s="74"/>
      <c r="Y456" s="74"/>
      <c r="Z456" s="74"/>
      <c r="AA456" s="74"/>
      <c r="AB456" s="74"/>
      <c r="AC456" s="74"/>
      <c r="AD456" s="74"/>
      <c r="AE456" s="74"/>
      <c r="AF456" s="74"/>
      <c r="AG456" s="74"/>
    </row>
    <row r="457">
      <c r="A457" s="73">
        <v>2023.0</v>
      </c>
      <c r="B457" s="73" t="s">
        <v>400</v>
      </c>
      <c r="C457" s="73">
        <v>20.0</v>
      </c>
      <c r="D457" s="74" t="s">
        <v>19</v>
      </c>
      <c r="E457" s="74" t="s">
        <v>50</v>
      </c>
      <c r="F457" s="74" t="s">
        <v>1426</v>
      </c>
      <c r="G457" s="74" t="s">
        <v>154</v>
      </c>
      <c r="H457" s="74" t="s">
        <v>2005</v>
      </c>
      <c r="I457" s="74" t="s">
        <v>2006</v>
      </c>
      <c r="J457" s="73">
        <v>17.0</v>
      </c>
      <c r="K457" s="73">
        <v>1.0</v>
      </c>
      <c r="L457" s="73">
        <v>2.0</v>
      </c>
      <c r="M457" s="73"/>
      <c r="N457" s="75">
        <v>0.41041666666666665</v>
      </c>
      <c r="O457" s="76" t="s">
        <v>2007</v>
      </c>
      <c r="P457" s="75">
        <v>0.44930555555555557</v>
      </c>
      <c r="Q457" s="75"/>
      <c r="S457" s="75"/>
      <c r="T457" s="76" t="s">
        <v>1864</v>
      </c>
      <c r="U457" s="74" t="s">
        <v>1429</v>
      </c>
      <c r="V457" s="74" t="s">
        <v>376</v>
      </c>
      <c r="W457" s="74"/>
      <c r="Y457" s="74"/>
      <c r="Z457" s="74"/>
      <c r="AA457" s="74"/>
      <c r="AB457" s="74"/>
      <c r="AC457" s="74"/>
      <c r="AD457" s="74"/>
      <c r="AE457" s="74"/>
      <c r="AF457" s="74"/>
      <c r="AG457" s="74"/>
    </row>
    <row r="458">
      <c r="A458" s="73">
        <v>2023.0</v>
      </c>
      <c r="B458" s="73" t="s">
        <v>400</v>
      </c>
      <c r="C458" s="73">
        <v>20.0</v>
      </c>
      <c r="D458" s="74" t="s">
        <v>19</v>
      </c>
      <c r="E458" s="74" t="s">
        <v>50</v>
      </c>
      <c r="F458" s="74" t="s">
        <v>1426</v>
      </c>
      <c r="G458" s="74" t="s">
        <v>154</v>
      </c>
      <c r="H458" s="74" t="s">
        <v>2005</v>
      </c>
      <c r="I458" s="74" t="s">
        <v>2006</v>
      </c>
      <c r="J458" s="73">
        <v>17.0</v>
      </c>
      <c r="K458" s="73">
        <v>1.0</v>
      </c>
      <c r="L458" s="73">
        <v>3.0</v>
      </c>
      <c r="M458" s="73"/>
      <c r="N458" s="75">
        <v>0.44930555555555557</v>
      </c>
      <c r="O458" s="76" t="s">
        <v>1864</v>
      </c>
      <c r="P458" s="75">
        <v>0.5118055555555555</v>
      </c>
      <c r="Q458" s="75"/>
      <c r="S458" s="75"/>
      <c r="T458" s="76" t="s">
        <v>240</v>
      </c>
      <c r="U458" s="74" t="s">
        <v>1429</v>
      </c>
      <c r="V458" s="74" t="s">
        <v>1633</v>
      </c>
      <c r="W458" s="74" t="s">
        <v>1431</v>
      </c>
      <c r="Y458" s="74"/>
      <c r="Z458" s="74"/>
      <c r="AA458" s="74"/>
      <c r="AB458" s="74"/>
      <c r="AC458" s="74"/>
      <c r="AD458" s="74"/>
      <c r="AE458" s="74"/>
      <c r="AF458" s="74"/>
      <c r="AG458" s="74"/>
    </row>
    <row r="459">
      <c r="A459" s="73">
        <v>2023.0</v>
      </c>
      <c r="B459" s="73" t="s">
        <v>400</v>
      </c>
      <c r="C459" s="73">
        <v>20.0</v>
      </c>
      <c r="D459" s="74" t="s">
        <v>19</v>
      </c>
      <c r="E459" s="74" t="s">
        <v>50</v>
      </c>
      <c r="F459" s="74" t="s">
        <v>1426</v>
      </c>
      <c r="G459" s="74" t="s">
        <v>154</v>
      </c>
      <c r="H459" s="74" t="s">
        <v>2005</v>
      </c>
      <c r="I459" s="74" t="s">
        <v>2006</v>
      </c>
      <c r="J459" s="73">
        <v>17.0</v>
      </c>
      <c r="K459" s="73">
        <v>1.0</v>
      </c>
      <c r="L459" s="73">
        <v>4.0</v>
      </c>
      <c r="M459" s="73"/>
      <c r="N459" s="75">
        <v>0.5118055555555555</v>
      </c>
      <c r="O459" s="76" t="s">
        <v>240</v>
      </c>
      <c r="P459" s="75">
        <v>0.6013888888888889</v>
      </c>
      <c r="Q459" s="75"/>
      <c r="S459" s="75"/>
      <c r="T459" s="76" t="s">
        <v>1580</v>
      </c>
      <c r="U459" s="74" t="s">
        <v>1429</v>
      </c>
      <c r="V459" s="74" t="s">
        <v>422</v>
      </c>
      <c r="W459" s="74" t="s">
        <v>2009</v>
      </c>
      <c r="Y459" s="74"/>
      <c r="Z459" s="74"/>
      <c r="AA459" s="74"/>
      <c r="AB459" s="74"/>
      <c r="AC459" s="74"/>
      <c r="AD459" s="74"/>
      <c r="AE459" s="74"/>
      <c r="AF459" s="74"/>
      <c r="AG459" s="74"/>
    </row>
    <row r="460">
      <c r="A460" s="73">
        <v>2023.0</v>
      </c>
      <c r="B460" s="73" t="s">
        <v>400</v>
      </c>
      <c r="C460" s="73">
        <v>20.0</v>
      </c>
      <c r="D460" s="74" t="s">
        <v>19</v>
      </c>
      <c r="E460" s="74" t="s">
        <v>50</v>
      </c>
      <c r="F460" s="73">
        <v>39.0</v>
      </c>
      <c r="G460" s="74" t="s">
        <v>154</v>
      </c>
      <c r="H460" s="74" t="s">
        <v>2010</v>
      </c>
      <c r="I460" s="74" t="s">
        <v>2011</v>
      </c>
      <c r="J460" s="74" t="s">
        <v>1416</v>
      </c>
      <c r="K460" s="73">
        <v>2.0</v>
      </c>
      <c r="L460" s="73">
        <v>1.0</v>
      </c>
      <c r="M460" s="73"/>
      <c r="N460" s="75">
        <v>0.32708333333333334</v>
      </c>
      <c r="O460" s="76" t="s">
        <v>2012</v>
      </c>
      <c r="P460" s="75">
        <v>0.39375</v>
      </c>
      <c r="Q460" s="75"/>
      <c r="S460" s="75"/>
      <c r="T460" s="76" t="s">
        <v>718</v>
      </c>
      <c r="U460" s="74" t="s">
        <v>309</v>
      </c>
      <c r="V460" s="74" t="s">
        <v>2008</v>
      </c>
      <c r="W460" s="74"/>
      <c r="Y460" s="74"/>
      <c r="Z460" s="74"/>
      <c r="AA460" s="74"/>
      <c r="AB460" s="74"/>
      <c r="AC460" s="74"/>
      <c r="AD460" s="74"/>
      <c r="AE460" s="74"/>
      <c r="AF460" s="74"/>
      <c r="AG460" s="74"/>
    </row>
    <row r="461">
      <c r="A461" s="73">
        <v>2023.0</v>
      </c>
      <c r="B461" s="73" t="s">
        <v>400</v>
      </c>
      <c r="C461" s="73">
        <v>20.0</v>
      </c>
      <c r="D461" s="74" t="s">
        <v>19</v>
      </c>
      <c r="E461" s="74" t="s">
        <v>50</v>
      </c>
      <c r="F461" s="73">
        <v>39.0</v>
      </c>
      <c r="G461" s="74" t="s">
        <v>154</v>
      </c>
      <c r="H461" s="74" t="s">
        <v>2010</v>
      </c>
      <c r="I461" s="74" t="s">
        <v>2011</v>
      </c>
      <c r="J461" s="74" t="s">
        <v>1416</v>
      </c>
      <c r="K461" s="73">
        <v>2.0</v>
      </c>
      <c r="L461" s="73">
        <v>2.0</v>
      </c>
      <c r="M461" s="73"/>
      <c r="N461" s="75">
        <v>0.39375</v>
      </c>
      <c r="O461" s="76" t="s">
        <v>718</v>
      </c>
      <c r="P461" s="75">
        <v>0.4534722222222222</v>
      </c>
      <c r="Q461" s="75"/>
      <c r="S461" s="75"/>
      <c r="T461" s="76" t="s">
        <v>784</v>
      </c>
      <c r="U461" s="74" t="s">
        <v>1434</v>
      </c>
      <c r="V461" s="74" t="s">
        <v>422</v>
      </c>
      <c r="W461" s="74" t="s">
        <v>2013</v>
      </c>
      <c r="Y461" s="74"/>
      <c r="Z461" s="74"/>
      <c r="AA461" s="74"/>
      <c r="AB461" s="74"/>
      <c r="AC461" s="74"/>
      <c r="AD461" s="74"/>
      <c r="AE461" s="74"/>
      <c r="AF461" s="74"/>
      <c r="AG461" s="74"/>
    </row>
    <row r="462">
      <c r="A462" s="73">
        <v>2023.0</v>
      </c>
      <c r="B462" s="73" t="s">
        <v>400</v>
      </c>
      <c r="C462" s="73">
        <v>20.0</v>
      </c>
      <c r="D462" s="74" t="s">
        <v>19</v>
      </c>
      <c r="E462" s="74" t="s">
        <v>50</v>
      </c>
      <c r="F462" s="73">
        <v>39.0</v>
      </c>
      <c r="G462" s="74" t="s">
        <v>154</v>
      </c>
      <c r="H462" s="74" t="s">
        <v>2010</v>
      </c>
      <c r="I462" s="74" t="s">
        <v>2011</v>
      </c>
      <c r="J462" s="74" t="s">
        <v>1416</v>
      </c>
      <c r="K462" s="73">
        <v>2.0</v>
      </c>
      <c r="L462" s="73">
        <v>3.0</v>
      </c>
      <c r="M462" s="73"/>
      <c r="N462" s="75">
        <v>0.4534722222222222</v>
      </c>
      <c r="O462" s="76" t="s">
        <v>784</v>
      </c>
      <c r="P462" s="75">
        <v>0.5277777777777778</v>
      </c>
      <c r="Q462" s="75"/>
      <c r="S462" s="75"/>
      <c r="T462" s="76" t="s">
        <v>1636</v>
      </c>
      <c r="U462" s="74" t="s">
        <v>1434</v>
      </c>
      <c r="V462" s="74" t="s">
        <v>376</v>
      </c>
      <c r="W462" s="74"/>
      <c r="Y462" s="74"/>
      <c r="Z462" s="74"/>
      <c r="AA462" s="74"/>
      <c r="AB462" s="74"/>
      <c r="AC462" s="74"/>
      <c r="AD462" s="74"/>
      <c r="AE462" s="74"/>
      <c r="AF462" s="74"/>
      <c r="AG462" s="74"/>
    </row>
    <row r="463">
      <c r="A463" s="73">
        <v>2023.0</v>
      </c>
      <c r="B463" s="73" t="s">
        <v>400</v>
      </c>
      <c r="C463" s="73">
        <v>20.0</v>
      </c>
      <c r="D463" s="74" t="s">
        <v>19</v>
      </c>
      <c r="E463" s="74" t="s">
        <v>50</v>
      </c>
      <c r="F463" s="73">
        <v>39.0</v>
      </c>
      <c r="G463" s="74" t="s">
        <v>154</v>
      </c>
      <c r="H463" s="74" t="s">
        <v>2010</v>
      </c>
      <c r="I463" s="74" t="s">
        <v>2011</v>
      </c>
      <c r="J463" s="74" t="s">
        <v>1416</v>
      </c>
      <c r="K463" s="73">
        <v>2.0</v>
      </c>
      <c r="L463" s="73">
        <v>4.0</v>
      </c>
      <c r="M463" s="73"/>
      <c r="N463" s="75">
        <v>0.5277777777777778</v>
      </c>
      <c r="O463" s="76" t="s">
        <v>1636</v>
      </c>
      <c r="P463" s="75">
        <v>0.6097222222222222</v>
      </c>
      <c r="Q463" s="75"/>
      <c r="S463" s="75"/>
      <c r="T463" s="76" t="s">
        <v>1646</v>
      </c>
      <c r="U463" s="74" t="s">
        <v>1434</v>
      </c>
      <c r="V463" s="74" t="s">
        <v>1606</v>
      </c>
      <c r="W463" s="74"/>
      <c r="Y463" s="74"/>
      <c r="Z463" s="74"/>
      <c r="AA463" s="74"/>
      <c r="AB463" s="74"/>
      <c r="AC463" s="74"/>
      <c r="AD463" s="74"/>
      <c r="AE463" s="74"/>
      <c r="AF463" s="74"/>
      <c r="AG463" s="74"/>
    </row>
    <row r="464">
      <c r="A464" s="73">
        <v>2023.0</v>
      </c>
      <c r="B464" s="73" t="s">
        <v>400</v>
      </c>
      <c r="C464" s="73">
        <v>20.0</v>
      </c>
      <c r="D464" s="74" t="s">
        <v>19</v>
      </c>
      <c r="E464" s="74" t="s">
        <v>50</v>
      </c>
      <c r="F464" s="73">
        <v>544.0</v>
      </c>
      <c r="G464" s="74" t="s">
        <v>1959</v>
      </c>
      <c r="H464" s="74" t="s">
        <v>1576</v>
      </c>
      <c r="I464" s="74" t="s">
        <v>1577</v>
      </c>
      <c r="J464" s="73">
        <v>20.0</v>
      </c>
      <c r="K464" s="73">
        <v>3.0</v>
      </c>
      <c r="L464" s="73">
        <v>1.0</v>
      </c>
      <c r="M464" s="73"/>
      <c r="N464" s="75">
        <v>0.33055555555555555</v>
      </c>
      <c r="O464" s="76" t="s">
        <v>2014</v>
      </c>
      <c r="P464" s="75">
        <v>0.3972222222222222</v>
      </c>
      <c r="Q464" s="75"/>
      <c r="S464" s="75"/>
      <c r="T464" s="76" t="s">
        <v>722</v>
      </c>
      <c r="U464" s="74" t="s">
        <v>1963</v>
      </c>
      <c r="V464" s="74" t="s">
        <v>422</v>
      </c>
      <c r="W464" s="74"/>
      <c r="Y464" s="74"/>
      <c r="Z464" s="74"/>
      <c r="AA464" s="74"/>
      <c r="AB464" s="74"/>
      <c r="AC464" s="74"/>
      <c r="AD464" s="74"/>
      <c r="AE464" s="74"/>
      <c r="AF464" s="74"/>
      <c r="AG464" s="74"/>
    </row>
    <row r="465">
      <c r="A465" s="73">
        <v>2023.0</v>
      </c>
      <c r="B465" s="73" t="s">
        <v>400</v>
      </c>
      <c r="C465" s="73">
        <v>20.0</v>
      </c>
      <c r="D465" s="74" t="s">
        <v>19</v>
      </c>
      <c r="E465" s="74" t="s">
        <v>50</v>
      </c>
      <c r="F465" s="73">
        <v>544.0</v>
      </c>
      <c r="G465" s="74" t="s">
        <v>1959</v>
      </c>
      <c r="H465" s="74" t="s">
        <v>1576</v>
      </c>
      <c r="I465" s="74" t="s">
        <v>1577</v>
      </c>
      <c r="J465" s="73">
        <v>20.0</v>
      </c>
      <c r="K465" s="73">
        <v>3.0</v>
      </c>
      <c r="L465" s="73">
        <v>2.0</v>
      </c>
      <c r="M465" s="73"/>
      <c r="N465" s="75">
        <v>0.3972222222222222</v>
      </c>
      <c r="O465" s="76" t="s">
        <v>722</v>
      </c>
      <c r="P465" s="75">
        <v>0.45555555555555555</v>
      </c>
      <c r="Q465" s="75"/>
      <c r="S465" s="75"/>
      <c r="T465" s="76" t="s">
        <v>1954</v>
      </c>
      <c r="U465" s="74" t="s">
        <v>1434</v>
      </c>
      <c r="V465" s="74" t="s">
        <v>422</v>
      </c>
      <c r="W465" s="74" t="s">
        <v>2009</v>
      </c>
      <c r="Y465" s="74"/>
      <c r="Z465" s="74"/>
      <c r="AA465" s="74"/>
      <c r="AB465" s="74"/>
      <c r="AC465" s="74"/>
      <c r="AD465" s="74"/>
      <c r="AE465" s="74"/>
      <c r="AF465" s="74"/>
      <c r="AG465" s="74"/>
    </row>
    <row r="466">
      <c r="A466" s="73">
        <v>2023.0</v>
      </c>
      <c r="B466" s="73" t="s">
        <v>400</v>
      </c>
      <c r="C466" s="73">
        <v>20.0</v>
      </c>
      <c r="D466" s="74" t="s">
        <v>19</v>
      </c>
      <c r="E466" s="74" t="s">
        <v>50</v>
      </c>
      <c r="F466" s="73">
        <v>544.0</v>
      </c>
      <c r="G466" s="74" t="s">
        <v>1959</v>
      </c>
      <c r="H466" s="74" t="s">
        <v>1576</v>
      </c>
      <c r="I466" s="74" t="s">
        <v>1577</v>
      </c>
      <c r="J466" s="73">
        <v>20.0</v>
      </c>
      <c r="K466" s="73">
        <v>3.0</v>
      </c>
      <c r="L466" s="73">
        <v>3.0</v>
      </c>
      <c r="M466" s="73"/>
      <c r="N466" s="75">
        <v>0.45555555555555555</v>
      </c>
      <c r="O466" s="76" t="s">
        <v>1954</v>
      </c>
      <c r="P466" s="75">
        <v>0.5291666666666667</v>
      </c>
      <c r="Q466" s="75"/>
      <c r="S466" s="75"/>
      <c r="T466" s="76" t="s">
        <v>1540</v>
      </c>
      <c r="U466" s="74"/>
      <c r="V466" s="74" t="s">
        <v>422</v>
      </c>
      <c r="W466" s="74" t="s">
        <v>2015</v>
      </c>
      <c r="Y466" s="74"/>
      <c r="Z466" s="74"/>
      <c r="AA466" s="74"/>
      <c r="AB466" s="74"/>
      <c r="AC466" s="74"/>
      <c r="AD466" s="74"/>
      <c r="AE466" s="74"/>
      <c r="AF466" s="74"/>
      <c r="AG466" s="74"/>
    </row>
    <row r="467">
      <c r="A467" s="73">
        <v>2023.0</v>
      </c>
      <c r="B467" s="73" t="s">
        <v>400</v>
      </c>
      <c r="C467" s="73">
        <v>20.0</v>
      </c>
      <c r="D467" s="74" t="s">
        <v>19</v>
      </c>
      <c r="E467" s="74" t="s">
        <v>50</v>
      </c>
      <c r="F467" s="73">
        <v>544.0</v>
      </c>
      <c r="G467" s="74" t="s">
        <v>1959</v>
      </c>
      <c r="H467" s="74" t="s">
        <v>1576</v>
      </c>
      <c r="I467" s="74" t="s">
        <v>1577</v>
      </c>
      <c r="J467" s="73">
        <v>20.0</v>
      </c>
      <c r="K467" s="73">
        <v>3.0</v>
      </c>
      <c r="L467" s="73">
        <v>4.0</v>
      </c>
      <c r="M467" s="73"/>
      <c r="N467" s="75">
        <v>0.5291666666666667</v>
      </c>
      <c r="O467" s="76" t="s">
        <v>1540</v>
      </c>
      <c r="P467" s="75">
        <v>0.6319444444444444</v>
      </c>
      <c r="Q467" s="75"/>
      <c r="S467" s="75"/>
      <c r="T467" s="76" t="s">
        <v>396</v>
      </c>
      <c r="U467" s="74" t="s">
        <v>1434</v>
      </c>
      <c r="V467" s="74" t="s">
        <v>376</v>
      </c>
      <c r="W467" s="74"/>
      <c r="Y467" s="74"/>
      <c r="Z467" s="74"/>
      <c r="AA467" s="74"/>
      <c r="AB467" s="74"/>
      <c r="AC467" s="74"/>
      <c r="AD467" s="74"/>
      <c r="AE467" s="74"/>
      <c r="AF467" s="74"/>
      <c r="AG467" s="74"/>
    </row>
    <row r="468">
      <c r="A468" s="73">
        <v>2023.0</v>
      </c>
      <c r="B468" s="73" t="s">
        <v>400</v>
      </c>
      <c r="C468" s="73">
        <v>20.0</v>
      </c>
      <c r="D468" s="74" t="s">
        <v>19</v>
      </c>
      <c r="E468" s="74" t="s">
        <v>50</v>
      </c>
      <c r="F468" s="73">
        <v>545.0</v>
      </c>
      <c r="G468" s="74" t="s">
        <v>154</v>
      </c>
      <c r="H468" s="74" t="s">
        <v>1583</v>
      </c>
      <c r="I468" s="74" t="s">
        <v>1584</v>
      </c>
      <c r="J468" s="73">
        <v>19.0</v>
      </c>
      <c r="K468" s="73">
        <v>4.0</v>
      </c>
      <c r="L468" s="73">
        <v>1.0</v>
      </c>
      <c r="M468" s="73"/>
      <c r="N468" s="75">
        <v>0.3354166666666667</v>
      </c>
      <c r="O468" s="76" t="s">
        <v>1663</v>
      </c>
      <c r="P468" s="75">
        <v>0.39999999999999997</v>
      </c>
      <c r="Q468" s="75"/>
      <c r="S468" s="75"/>
      <c r="T468" s="76" t="s">
        <v>1910</v>
      </c>
      <c r="U468" s="74" t="s">
        <v>309</v>
      </c>
      <c r="V468" s="74" t="s">
        <v>422</v>
      </c>
      <c r="W468" s="74"/>
      <c r="Y468" s="74"/>
      <c r="Z468" s="74"/>
      <c r="AA468" s="74"/>
      <c r="AB468" s="74"/>
      <c r="AC468" s="74"/>
      <c r="AD468" s="74"/>
      <c r="AE468" s="74"/>
      <c r="AF468" s="74"/>
      <c r="AG468" s="74"/>
    </row>
    <row r="469">
      <c r="A469" s="73">
        <v>2023.0</v>
      </c>
      <c r="B469" s="73" t="s">
        <v>400</v>
      </c>
      <c r="C469" s="73">
        <v>20.0</v>
      </c>
      <c r="D469" s="74" t="s">
        <v>19</v>
      </c>
      <c r="E469" s="74" t="s">
        <v>50</v>
      </c>
      <c r="F469" s="73">
        <v>545.0</v>
      </c>
      <c r="G469" s="74" t="s">
        <v>154</v>
      </c>
      <c r="H469" s="74" t="s">
        <v>1583</v>
      </c>
      <c r="I469" s="74" t="s">
        <v>1584</v>
      </c>
      <c r="J469" s="73">
        <v>19.0</v>
      </c>
      <c r="K469" s="73">
        <v>4.0</v>
      </c>
      <c r="L469" s="73">
        <v>2.0</v>
      </c>
      <c r="M469" s="73"/>
      <c r="N469" s="75">
        <v>0.39999999999999997</v>
      </c>
      <c r="O469" s="76" t="s">
        <v>1910</v>
      </c>
      <c r="P469" s="75">
        <v>0.4590277777777778</v>
      </c>
      <c r="Q469" s="75"/>
      <c r="S469" s="75"/>
      <c r="T469" s="76" t="s">
        <v>2016</v>
      </c>
      <c r="U469" s="74" t="s">
        <v>1419</v>
      </c>
      <c r="V469" s="74" t="s">
        <v>1604</v>
      </c>
      <c r="W469" s="74"/>
      <c r="Y469" s="74"/>
      <c r="Z469" s="74"/>
      <c r="AA469" s="74"/>
      <c r="AB469" s="74"/>
      <c r="AC469" s="74"/>
      <c r="AD469" s="74"/>
      <c r="AE469" s="74"/>
      <c r="AF469" s="74"/>
      <c r="AG469" s="74"/>
    </row>
    <row r="470">
      <c r="A470" s="73">
        <v>2023.0</v>
      </c>
      <c r="B470" s="73" t="s">
        <v>400</v>
      </c>
      <c r="C470" s="73">
        <v>20.0</v>
      </c>
      <c r="D470" s="74" t="s">
        <v>19</v>
      </c>
      <c r="E470" s="74" t="s">
        <v>50</v>
      </c>
      <c r="F470" s="73">
        <v>545.0</v>
      </c>
      <c r="G470" s="74" t="s">
        <v>154</v>
      </c>
      <c r="H470" s="74" t="s">
        <v>1583</v>
      </c>
      <c r="I470" s="74" t="s">
        <v>1584</v>
      </c>
      <c r="J470" s="73">
        <v>19.0</v>
      </c>
      <c r="K470" s="73">
        <v>4.0</v>
      </c>
      <c r="L470" s="73">
        <v>3.0</v>
      </c>
      <c r="M470" s="73"/>
      <c r="N470" s="75">
        <v>0.4590277777777778</v>
      </c>
      <c r="O470" s="76" t="s">
        <v>2016</v>
      </c>
      <c r="P470" s="75">
        <v>0.5333333333333333</v>
      </c>
      <c r="Q470" s="75"/>
      <c r="S470" s="75"/>
      <c r="T470" s="76" t="s">
        <v>1749</v>
      </c>
      <c r="U470" s="74" t="s">
        <v>1434</v>
      </c>
      <c r="V470" s="74" t="s">
        <v>1595</v>
      </c>
      <c r="W470" s="74"/>
      <c r="Y470" s="74"/>
      <c r="Z470" s="74"/>
      <c r="AA470" s="74"/>
      <c r="AB470" s="74"/>
      <c r="AC470" s="74"/>
      <c r="AD470" s="74"/>
      <c r="AE470" s="74"/>
      <c r="AF470" s="74"/>
      <c r="AG470" s="74"/>
    </row>
    <row r="471">
      <c r="A471" s="73">
        <v>2023.0</v>
      </c>
      <c r="B471" s="73" t="s">
        <v>400</v>
      </c>
      <c r="C471" s="73">
        <v>20.0</v>
      </c>
      <c r="D471" s="74" t="s">
        <v>19</v>
      </c>
      <c r="E471" s="74" t="s">
        <v>50</v>
      </c>
      <c r="F471" s="73">
        <v>545.0</v>
      </c>
      <c r="G471" s="74" t="s">
        <v>154</v>
      </c>
      <c r="H471" s="74" t="s">
        <v>1583</v>
      </c>
      <c r="I471" s="74" t="s">
        <v>1584</v>
      </c>
      <c r="J471" s="73">
        <v>19.0</v>
      </c>
      <c r="K471" s="73">
        <v>4.0</v>
      </c>
      <c r="L471" s="73">
        <v>4.0</v>
      </c>
      <c r="M471" s="73"/>
      <c r="N471" s="75">
        <v>0.5333333333333333</v>
      </c>
      <c r="O471" s="76" t="s">
        <v>1749</v>
      </c>
      <c r="P471" s="74" t="s">
        <v>1782</v>
      </c>
      <c r="Q471" s="75"/>
      <c r="S471" s="74"/>
      <c r="T471" s="78" t="s">
        <v>1782</v>
      </c>
      <c r="U471" s="74" t="s">
        <v>1782</v>
      </c>
      <c r="V471" s="74" t="s">
        <v>2017</v>
      </c>
      <c r="W471" s="74"/>
      <c r="Y471" s="74"/>
      <c r="Z471" s="74"/>
      <c r="AA471" s="74"/>
      <c r="AB471" s="74"/>
      <c r="AC471" s="74"/>
      <c r="AD471" s="74"/>
      <c r="AE471" s="74"/>
      <c r="AF471" s="74"/>
      <c r="AG471" s="74"/>
    </row>
    <row r="472">
      <c r="A472" s="73">
        <v>2023.0</v>
      </c>
      <c r="B472" s="73" t="s">
        <v>400</v>
      </c>
      <c r="C472" s="73">
        <v>20.0</v>
      </c>
      <c r="D472" s="74" t="s">
        <v>19</v>
      </c>
      <c r="E472" s="74" t="s">
        <v>50</v>
      </c>
      <c r="F472" s="73">
        <v>56.0</v>
      </c>
      <c r="G472" s="74" t="s">
        <v>154</v>
      </c>
      <c r="H472" s="74" t="s">
        <v>2018</v>
      </c>
      <c r="I472" s="74" t="s">
        <v>2019</v>
      </c>
      <c r="J472" s="74" t="s">
        <v>1416</v>
      </c>
      <c r="K472" s="73">
        <v>5.0</v>
      </c>
      <c r="L472" s="73">
        <v>1.0</v>
      </c>
      <c r="M472" s="73"/>
      <c r="N472" s="75">
        <v>0.3430555555555555</v>
      </c>
      <c r="O472" s="76" t="s">
        <v>2020</v>
      </c>
      <c r="P472" s="75">
        <v>0.40277777777777773</v>
      </c>
      <c r="Q472" s="75"/>
      <c r="S472" s="75"/>
      <c r="T472" s="76" t="s">
        <v>1620</v>
      </c>
      <c r="U472" s="74" t="s">
        <v>309</v>
      </c>
      <c r="V472" s="74" t="s">
        <v>1594</v>
      </c>
      <c r="W472" s="74"/>
      <c r="Y472" s="74"/>
      <c r="Z472" s="74"/>
      <c r="AA472" s="74"/>
      <c r="AB472" s="74"/>
      <c r="AC472" s="74"/>
      <c r="AD472" s="74"/>
      <c r="AE472" s="74"/>
      <c r="AF472" s="74"/>
      <c r="AG472" s="74"/>
    </row>
    <row r="473">
      <c r="A473" s="73">
        <v>2023.0</v>
      </c>
      <c r="B473" s="73" t="s">
        <v>400</v>
      </c>
      <c r="C473" s="73">
        <v>20.0</v>
      </c>
      <c r="D473" s="74" t="s">
        <v>19</v>
      </c>
      <c r="E473" s="74" t="s">
        <v>50</v>
      </c>
      <c r="F473" s="73">
        <v>56.0</v>
      </c>
      <c r="G473" s="74" t="s">
        <v>154</v>
      </c>
      <c r="H473" s="74" t="s">
        <v>2018</v>
      </c>
      <c r="I473" s="74" t="s">
        <v>2019</v>
      </c>
      <c r="J473" s="74" t="s">
        <v>1416</v>
      </c>
      <c r="K473" s="73">
        <v>5.0</v>
      </c>
      <c r="L473" s="73">
        <v>2.0</v>
      </c>
      <c r="M473" s="73"/>
      <c r="N473" s="75">
        <v>0.40277777777777773</v>
      </c>
      <c r="O473" s="76" t="s">
        <v>1620</v>
      </c>
      <c r="P473" s="75">
        <v>0.4784722222222222</v>
      </c>
      <c r="Q473" s="75"/>
      <c r="S473" s="75"/>
      <c r="T473" s="76" t="s">
        <v>1949</v>
      </c>
      <c r="U473" s="74" t="s">
        <v>1782</v>
      </c>
      <c r="V473" s="74" t="s">
        <v>422</v>
      </c>
      <c r="W473" s="74" t="s">
        <v>2009</v>
      </c>
      <c r="Y473" s="74"/>
      <c r="Z473" s="74"/>
      <c r="AA473" s="74"/>
      <c r="AB473" s="74"/>
      <c r="AC473" s="74"/>
      <c r="AD473" s="74"/>
      <c r="AE473" s="74"/>
      <c r="AF473" s="74"/>
      <c r="AG473" s="74"/>
    </row>
    <row r="474">
      <c r="A474" s="73">
        <v>2023.0</v>
      </c>
      <c r="B474" s="73" t="s">
        <v>400</v>
      </c>
      <c r="C474" s="73">
        <v>20.0</v>
      </c>
      <c r="D474" s="74" t="s">
        <v>19</v>
      </c>
      <c r="E474" s="74" t="s">
        <v>50</v>
      </c>
      <c r="F474" s="73">
        <v>56.0</v>
      </c>
      <c r="G474" s="74" t="s">
        <v>154</v>
      </c>
      <c r="H474" s="74" t="s">
        <v>2018</v>
      </c>
      <c r="I474" s="74" t="s">
        <v>2019</v>
      </c>
      <c r="J474" s="74" t="s">
        <v>1416</v>
      </c>
      <c r="K474" s="73">
        <v>5.0</v>
      </c>
      <c r="L474" s="73">
        <v>3.0</v>
      </c>
      <c r="M474" s="73"/>
      <c r="N474" s="75">
        <v>0.4784722222222222</v>
      </c>
      <c r="O474" s="76" t="s">
        <v>1949</v>
      </c>
      <c r="P474" s="75">
        <v>0.5777777777777778</v>
      </c>
      <c r="Q474" s="75"/>
      <c r="S474" s="75"/>
      <c r="T474" s="76" t="s">
        <v>1957</v>
      </c>
      <c r="U474" s="74" t="s">
        <v>1782</v>
      </c>
      <c r="V474" s="74" t="s">
        <v>422</v>
      </c>
      <c r="W474" s="74" t="s">
        <v>2009</v>
      </c>
      <c r="Y474" s="74"/>
      <c r="Z474" s="74"/>
      <c r="AA474" s="74"/>
      <c r="AB474" s="74"/>
      <c r="AC474" s="74"/>
      <c r="AD474" s="74"/>
      <c r="AE474" s="74"/>
      <c r="AF474" s="74"/>
      <c r="AG474" s="74"/>
    </row>
    <row r="475">
      <c r="A475" s="73">
        <v>2023.0</v>
      </c>
      <c r="B475" s="73" t="s">
        <v>400</v>
      </c>
      <c r="C475" s="73">
        <v>20.0</v>
      </c>
      <c r="D475" s="74" t="s">
        <v>19</v>
      </c>
      <c r="E475" s="74" t="s">
        <v>50</v>
      </c>
      <c r="F475" s="73">
        <v>581.0</v>
      </c>
      <c r="G475" s="74" t="s">
        <v>1959</v>
      </c>
      <c r="H475" s="74" t="s">
        <v>2021</v>
      </c>
      <c r="I475" s="74" t="s">
        <v>2022</v>
      </c>
      <c r="J475" s="73">
        <v>18.0</v>
      </c>
      <c r="K475" s="73">
        <v>6.0</v>
      </c>
      <c r="L475" s="73">
        <v>1.0</v>
      </c>
      <c r="M475" s="73"/>
      <c r="N475" s="75">
        <v>0.3458333333333334</v>
      </c>
      <c r="O475" s="76" t="s">
        <v>1793</v>
      </c>
      <c r="P475" s="75">
        <v>0.42569444444444443</v>
      </c>
      <c r="Q475" s="75"/>
      <c r="S475" s="75"/>
      <c r="T475" s="76" t="s">
        <v>2023</v>
      </c>
      <c r="U475" s="74" t="s">
        <v>1963</v>
      </c>
      <c r="V475" s="74" t="s">
        <v>411</v>
      </c>
      <c r="W475" s="74"/>
      <c r="Y475" s="74"/>
      <c r="Z475" s="74"/>
      <c r="AA475" s="74"/>
      <c r="AB475" s="74"/>
      <c r="AC475" s="74"/>
      <c r="AD475" s="74"/>
      <c r="AE475" s="74"/>
      <c r="AF475" s="74"/>
      <c r="AG475" s="74"/>
    </row>
    <row r="476">
      <c r="A476" s="73">
        <v>2023.0</v>
      </c>
      <c r="B476" s="73" t="s">
        <v>400</v>
      </c>
      <c r="C476" s="73">
        <v>20.0</v>
      </c>
      <c r="D476" s="74" t="s">
        <v>19</v>
      </c>
      <c r="E476" s="74" t="s">
        <v>50</v>
      </c>
      <c r="F476" s="73">
        <v>581.0</v>
      </c>
      <c r="G476" s="74" t="s">
        <v>1959</v>
      </c>
      <c r="H476" s="74" t="s">
        <v>2021</v>
      </c>
      <c r="I476" s="74" t="s">
        <v>2022</v>
      </c>
      <c r="J476" s="73">
        <v>18.0</v>
      </c>
      <c r="K476" s="73">
        <v>6.0</v>
      </c>
      <c r="L476" s="73">
        <v>2.0</v>
      </c>
      <c r="M476" s="73"/>
      <c r="N476" s="75">
        <v>0.42569444444444443</v>
      </c>
      <c r="O476" s="76" t="s">
        <v>2023</v>
      </c>
      <c r="P476" s="75">
        <v>0.48194444444444445</v>
      </c>
      <c r="Q476" s="75"/>
      <c r="S476" s="75"/>
      <c r="T476" s="76" t="s">
        <v>1955</v>
      </c>
      <c r="U476" s="74" t="s">
        <v>1411</v>
      </c>
      <c r="V476" s="74" t="s">
        <v>1621</v>
      </c>
      <c r="W476" s="74"/>
      <c r="Y476" s="74"/>
      <c r="Z476" s="74"/>
      <c r="AA476" s="74"/>
      <c r="AB476" s="74"/>
      <c r="AC476" s="74"/>
      <c r="AD476" s="74"/>
      <c r="AE476" s="74"/>
      <c r="AF476" s="74"/>
      <c r="AG476" s="74"/>
    </row>
    <row r="477">
      <c r="A477" s="73">
        <v>2023.0</v>
      </c>
      <c r="B477" s="73" t="s">
        <v>400</v>
      </c>
      <c r="C477" s="73">
        <v>20.0</v>
      </c>
      <c r="D477" s="74" t="s">
        <v>19</v>
      </c>
      <c r="E477" s="74" t="s">
        <v>50</v>
      </c>
      <c r="F477" s="73">
        <v>581.0</v>
      </c>
      <c r="G477" s="74" t="s">
        <v>1959</v>
      </c>
      <c r="H477" s="74" t="s">
        <v>2021</v>
      </c>
      <c r="I477" s="74" t="s">
        <v>2022</v>
      </c>
      <c r="J477" s="73">
        <v>18.0</v>
      </c>
      <c r="K477" s="73">
        <v>6.0</v>
      </c>
      <c r="L477" s="73">
        <v>3.0</v>
      </c>
      <c r="M477" s="73"/>
      <c r="N477" s="75">
        <v>0.48194444444444445</v>
      </c>
      <c r="O477" s="76" t="s">
        <v>1955</v>
      </c>
      <c r="P477" s="75">
        <v>0.5506944444444445</v>
      </c>
      <c r="Q477" s="75"/>
      <c r="S477" s="75"/>
      <c r="T477" s="76" t="s">
        <v>2024</v>
      </c>
      <c r="U477" s="74" t="s">
        <v>1782</v>
      </c>
      <c r="V477" s="74" t="s">
        <v>376</v>
      </c>
      <c r="W477" s="74"/>
      <c r="Y477" s="74"/>
      <c r="Z477" s="74"/>
      <c r="AA477" s="74"/>
      <c r="AB477" s="74"/>
      <c r="AC477" s="74"/>
      <c r="AD477" s="74"/>
      <c r="AE477" s="74"/>
      <c r="AF477" s="74"/>
      <c r="AG477" s="74"/>
    </row>
    <row r="478">
      <c r="A478" s="73">
        <v>2023.0</v>
      </c>
      <c r="B478" s="73" t="s">
        <v>400</v>
      </c>
      <c r="C478" s="73">
        <v>20.0</v>
      </c>
      <c r="D478" s="74" t="s">
        <v>19</v>
      </c>
      <c r="E478" s="74" t="s">
        <v>50</v>
      </c>
      <c r="F478" s="73">
        <v>581.0</v>
      </c>
      <c r="G478" s="74" t="s">
        <v>1959</v>
      </c>
      <c r="H478" s="74" t="s">
        <v>2021</v>
      </c>
      <c r="I478" s="74" t="s">
        <v>2022</v>
      </c>
      <c r="J478" s="73">
        <v>18.0</v>
      </c>
      <c r="K478" s="73">
        <v>6.0</v>
      </c>
      <c r="L478" s="73">
        <v>4.0</v>
      </c>
      <c r="M478" s="73"/>
      <c r="N478" s="75">
        <v>0.5506944444444445</v>
      </c>
      <c r="O478" s="76" t="s">
        <v>2024</v>
      </c>
      <c r="P478" s="75">
        <v>0.5847222222222223</v>
      </c>
      <c r="Q478" s="75"/>
      <c r="S478" s="75"/>
      <c r="T478" s="76" t="s">
        <v>2025</v>
      </c>
      <c r="U478" s="74" t="s">
        <v>1782</v>
      </c>
      <c r="V478" s="74" t="s">
        <v>1782</v>
      </c>
      <c r="W478" s="74"/>
      <c r="Y478" s="74"/>
      <c r="Z478" s="74"/>
      <c r="AA478" s="74"/>
      <c r="AB478" s="74"/>
      <c r="AC478" s="74"/>
      <c r="AD478" s="74"/>
      <c r="AE478" s="74"/>
      <c r="AF478" s="74"/>
      <c r="AG478" s="74"/>
    </row>
    <row r="479">
      <c r="A479" s="73">
        <v>2023.0</v>
      </c>
      <c r="B479" s="73" t="s">
        <v>400</v>
      </c>
      <c r="C479" s="73">
        <v>20.0</v>
      </c>
      <c r="D479" s="74" t="s">
        <v>19</v>
      </c>
      <c r="E479" s="74" t="s">
        <v>50</v>
      </c>
      <c r="F479" s="73">
        <v>582.0</v>
      </c>
      <c r="G479" s="74" t="s">
        <v>154</v>
      </c>
      <c r="H479" s="74" t="s">
        <v>2026</v>
      </c>
      <c r="I479" s="74" t="s">
        <v>2027</v>
      </c>
      <c r="J479" s="73">
        <v>16.0</v>
      </c>
      <c r="K479" s="73">
        <v>7.0</v>
      </c>
      <c r="L479" s="73">
        <v>1.0</v>
      </c>
      <c r="M479" s="73"/>
      <c r="N479" s="75">
        <v>0.3506944444444444</v>
      </c>
      <c r="O479" s="76" t="s">
        <v>1718</v>
      </c>
      <c r="P479" s="75">
        <v>0.4291666666666667</v>
      </c>
      <c r="Q479" s="75"/>
      <c r="S479" s="75"/>
      <c r="T479" s="76" t="s">
        <v>2028</v>
      </c>
      <c r="U479" s="74" t="s">
        <v>309</v>
      </c>
      <c r="V479" s="74" t="s">
        <v>422</v>
      </c>
      <c r="W479" s="74"/>
      <c r="Y479" s="74"/>
      <c r="Z479" s="74"/>
      <c r="AA479" s="74"/>
      <c r="AB479" s="74"/>
      <c r="AC479" s="74"/>
      <c r="AD479" s="74"/>
      <c r="AE479" s="74"/>
      <c r="AF479" s="74"/>
      <c r="AG479" s="74"/>
    </row>
    <row r="480">
      <c r="A480" s="73">
        <v>2023.0</v>
      </c>
      <c r="B480" s="73" t="s">
        <v>400</v>
      </c>
      <c r="C480" s="73">
        <v>20.0</v>
      </c>
      <c r="D480" s="74" t="s">
        <v>19</v>
      </c>
      <c r="E480" s="74" t="s">
        <v>50</v>
      </c>
      <c r="F480" s="73">
        <v>582.0</v>
      </c>
      <c r="G480" s="74" t="s">
        <v>154</v>
      </c>
      <c r="H480" s="74" t="s">
        <v>2026</v>
      </c>
      <c r="I480" s="74" t="s">
        <v>2027</v>
      </c>
      <c r="J480" s="73">
        <v>16.0</v>
      </c>
      <c r="K480" s="73">
        <v>7.0</v>
      </c>
      <c r="L480" s="73">
        <v>2.0</v>
      </c>
      <c r="M480" s="73"/>
      <c r="N480" s="75">
        <v>0.4291666666666667</v>
      </c>
      <c r="O480" s="76" t="s">
        <v>2028</v>
      </c>
      <c r="P480" s="75">
        <v>0.4930555555555556</v>
      </c>
      <c r="Q480" s="75"/>
      <c r="S480" s="75"/>
      <c r="T480" s="76" t="s">
        <v>973</v>
      </c>
      <c r="U480" s="74" t="s">
        <v>1434</v>
      </c>
      <c r="V480" s="74" t="s">
        <v>422</v>
      </c>
      <c r="W480" s="74"/>
      <c r="Y480" s="74"/>
      <c r="Z480" s="74"/>
      <c r="AA480" s="74"/>
      <c r="AB480" s="74"/>
      <c r="AC480" s="74"/>
      <c r="AD480" s="74"/>
      <c r="AE480" s="74"/>
      <c r="AF480" s="74"/>
      <c r="AG480" s="74"/>
    </row>
    <row r="481">
      <c r="A481" s="73">
        <v>2023.0</v>
      </c>
      <c r="B481" s="73" t="s">
        <v>400</v>
      </c>
      <c r="C481" s="73">
        <v>20.0</v>
      </c>
      <c r="D481" s="74" t="s">
        <v>19</v>
      </c>
      <c r="E481" s="74" t="s">
        <v>50</v>
      </c>
      <c r="F481" s="73">
        <v>582.0</v>
      </c>
      <c r="G481" s="74" t="s">
        <v>154</v>
      </c>
      <c r="H481" s="74" t="s">
        <v>2026</v>
      </c>
      <c r="I481" s="74" t="s">
        <v>2027</v>
      </c>
      <c r="J481" s="73">
        <v>16.0</v>
      </c>
      <c r="K481" s="73">
        <v>7.0</v>
      </c>
      <c r="L481" s="73">
        <v>3.0</v>
      </c>
      <c r="M481" s="73"/>
      <c r="N481" s="75">
        <v>0.4930555555555556</v>
      </c>
      <c r="O481" s="76" t="s">
        <v>973</v>
      </c>
      <c r="P481" s="75">
        <v>0.5868055555555556</v>
      </c>
      <c r="Q481" s="75"/>
      <c r="S481" s="75"/>
      <c r="T481" s="76" t="s">
        <v>2029</v>
      </c>
      <c r="U481" s="74" t="s">
        <v>1782</v>
      </c>
      <c r="V481" s="74" t="s">
        <v>422</v>
      </c>
      <c r="W481" s="74"/>
      <c r="Y481" s="74"/>
      <c r="Z481" s="74"/>
      <c r="AA481" s="74"/>
      <c r="AB481" s="74"/>
      <c r="AC481" s="74"/>
      <c r="AD481" s="74"/>
      <c r="AE481" s="74"/>
      <c r="AF481" s="74"/>
      <c r="AG481" s="74"/>
    </row>
    <row r="482">
      <c r="A482" s="73">
        <v>2023.0</v>
      </c>
      <c r="B482" s="73" t="s">
        <v>400</v>
      </c>
      <c r="C482" s="73">
        <v>20.0</v>
      </c>
      <c r="D482" s="74" t="s">
        <v>19</v>
      </c>
      <c r="E482" s="74" t="s">
        <v>50</v>
      </c>
      <c r="F482" s="73">
        <v>583.0</v>
      </c>
      <c r="G482" s="74" t="s">
        <v>1959</v>
      </c>
      <c r="H482" s="74" t="s">
        <v>1616</v>
      </c>
      <c r="I482" s="74" t="s">
        <v>2030</v>
      </c>
      <c r="J482" s="73">
        <v>18.0</v>
      </c>
      <c r="K482" s="73">
        <v>8.0</v>
      </c>
      <c r="L482" s="73">
        <v>1.0</v>
      </c>
      <c r="M482" s="73"/>
      <c r="N482" s="75">
        <v>0.3576388888888889</v>
      </c>
      <c r="O482" s="76" t="s">
        <v>2031</v>
      </c>
      <c r="P482" s="75">
        <v>0.43263888888888885</v>
      </c>
      <c r="Q482" s="75"/>
      <c r="S482" s="75"/>
      <c r="T482" s="76" t="s">
        <v>2032</v>
      </c>
      <c r="U482" s="74" t="s">
        <v>1963</v>
      </c>
      <c r="V482" s="74" t="s">
        <v>422</v>
      </c>
      <c r="W482" s="74" t="s">
        <v>1658</v>
      </c>
      <c r="Y482" s="74"/>
      <c r="Z482" s="74"/>
      <c r="AA482" s="74"/>
      <c r="AB482" s="74"/>
      <c r="AC482" s="74"/>
      <c r="AD482" s="74"/>
      <c r="AE482" s="74"/>
      <c r="AF482" s="74"/>
      <c r="AG482" s="74"/>
    </row>
    <row r="483">
      <c r="A483" s="73">
        <v>2023.0</v>
      </c>
      <c r="B483" s="73" t="s">
        <v>400</v>
      </c>
      <c r="C483" s="73">
        <v>20.0</v>
      </c>
      <c r="D483" s="74" t="s">
        <v>19</v>
      </c>
      <c r="E483" s="74" t="s">
        <v>50</v>
      </c>
      <c r="F483" s="73">
        <v>583.0</v>
      </c>
      <c r="G483" s="74" t="s">
        <v>1959</v>
      </c>
      <c r="H483" s="74" t="s">
        <v>1616</v>
      </c>
      <c r="I483" s="74" t="s">
        <v>2030</v>
      </c>
      <c r="J483" s="73">
        <v>18.0</v>
      </c>
      <c r="K483" s="73">
        <v>8.0</v>
      </c>
      <c r="L483" s="73">
        <v>2.0</v>
      </c>
      <c r="M483" s="73"/>
      <c r="N483" s="75">
        <v>0.43263888888888885</v>
      </c>
      <c r="O483" s="76" t="s">
        <v>2032</v>
      </c>
      <c r="P483" s="75">
        <v>0.4895833333333333</v>
      </c>
      <c r="Q483" s="75"/>
      <c r="S483" s="75"/>
      <c r="T483" s="76" t="s">
        <v>2033</v>
      </c>
      <c r="U483" s="74" t="s">
        <v>1972</v>
      </c>
      <c r="V483" s="74" t="s">
        <v>422</v>
      </c>
      <c r="W483" s="74" t="s">
        <v>1658</v>
      </c>
      <c r="Y483" s="74"/>
      <c r="Z483" s="74"/>
      <c r="AA483" s="74"/>
      <c r="AB483" s="74"/>
      <c r="AC483" s="74"/>
      <c r="AD483" s="74"/>
      <c r="AE483" s="74"/>
      <c r="AF483" s="74"/>
      <c r="AG483" s="74"/>
    </row>
    <row r="484">
      <c r="A484" s="73">
        <v>2023.0</v>
      </c>
      <c r="B484" s="73" t="s">
        <v>400</v>
      </c>
      <c r="C484" s="73">
        <v>20.0</v>
      </c>
      <c r="D484" s="74" t="s">
        <v>19</v>
      </c>
      <c r="E484" s="74" t="s">
        <v>50</v>
      </c>
      <c r="F484" s="73">
        <v>583.0</v>
      </c>
      <c r="G484" s="74" t="s">
        <v>1959</v>
      </c>
      <c r="H484" s="74" t="s">
        <v>1616</v>
      </c>
      <c r="I484" s="74" t="s">
        <v>2030</v>
      </c>
      <c r="J484" s="73">
        <v>18.0</v>
      </c>
      <c r="K484" s="73">
        <v>8.0</v>
      </c>
      <c r="L484" s="73">
        <v>3.0</v>
      </c>
      <c r="M484" s="73"/>
      <c r="N484" s="75">
        <v>0.4895833333333333</v>
      </c>
      <c r="O484" s="76" t="s">
        <v>2033</v>
      </c>
      <c r="P484" s="75">
        <v>0.59375</v>
      </c>
      <c r="Q484" s="75"/>
      <c r="S484" s="75"/>
      <c r="T484" s="76" t="s">
        <v>903</v>
      </c>
      <c r="U484" s="74" t="s">
        <v>2034</v>
      </c>
      <c r="V484" s="74" t="s">
        <v>2035</v>
      </c>
      <c r="W484" s="74" t="s">
        <v>2036</v>
      </c>
      <c r="Y484" s="74"/>
      <c r="Z484" s="74"/>
      <c r="AA484" s="74"/>
      <c r="AB484" s="74"/>
      <c r="AC484" s="74"/>
      <c r="AD484" s="74"/>
      <c r="AE484" s="74"/>
      <c r="AF484" s="74"/>
      <c r="AG484" s="74"/>
    </row>
    <row r="485">
      <c r="A485" s="73">
        <v>2023.0</v>
      </c>
      <c r="B485" s="73" t="s">
        <v>400</v>
      </c>
      <c r="C485" s="73">
        <v>21.0</v>
      </c>
      <c r="D485" s="74" t="s">
        <v>19</v>
      </c>
      <c r="E485" s="74" t="s">
        <v>50</v>
      </c>
      <c r="F485" s="73">
        <v>582.0</v>
      </c>
      <c r="G485" s="74" t="s">
        <v>154</v>
      </c>
      <c r="H485" s="74" t="s">
        <v>2026</v>
      </c>
      <c r="I485" s="74" t="s">
        <v>2027</v>
      </c>
      <c r="J485" s="73">
        <v>16.0</v>
      </c>
      <c r="K485" s="73">
        <v>1.0</v>
      </c>
      <c r="L485" s="73">
        <v>1.0</v>
      </c>
      <c r="M485" s="73"/>
      <c r="N485" s="75">
        <v>0.37083333333333335</v>
      </c>
      <c r="O485" s="76" t="s">
        <v>1888</v>
      </c>
      <c r="P485" s="75">
        <v>0.41250000000000003</v>
      </c>
      <c r="Q485" s="75"/>
      <c r="S485" s="75"/>
      <c r="T485" s="76" t="s">
        <v>2037</v>
      </c>
      <c r="U485" s="74" t="s">
        <v>2034</v>
      </c>
      <c r="V485" s="74" t="s">
        <v>376</v>
      </c>
      <c r="W485" s="74"/>
      <c r="Y485" s="74"/>
      <c r="Z485" s="74"/>
      <c r="AA485" s="74"/>
      <c r="AB485" s="74"/>
      <c r="AC485" s="74"/>
      <c r="AD485" s="74"/>
      <c r="AE485" s="74"/>
      <c r="AF485" s="74"/>
      <c r="AG485" s="74"/>
    </row>
    <row r="486">
      <c r="A486" s="73">
        <v>2023.0</v>
      </c>
      <c r="B486" s="73" t="s">
        <v>400</v>
      </c>
      <c r="C486" s="73">
        <v>21.0</v>
      </c>
      <c r="D486" s="74" t="s">
        <v>19</v>
      </c>
      <c r="E486" s="74" t="s">
        <v>50</v>
      </c>
      <c r="F486" s="73">
        <v>582.0</v>
      </c>
      <c r="G486" s="74" t="s">
        <v>154</v>
      </c>
      <c r="H486" s="74" t="s">
        <v>2026</v>
      </c>
      <c r="I486" s="74" t="s">
        <v>2027</v>
      </c>
      <c r="J486" s="73">
        <v>16.0</v>
      </c>
      <c r="K486" s="73">
        <v>1.0</v>
      </c>
      <c r="L486" s="73">
        <v>2.0</v>
      </c>
      <c r="M486" s="73"/>
      <c r="N486" s="75">
        <v>0.41250000000000003</v>
      </c>
      <c r="O486" s="76" t="s">
        <v>2037</v>
      </c>
      <c r="P486" s="75">
        <v>0.45416666666666666</v>
      </c>
      <c r="Q486" s="75"/>
      <c r="S486" s="75"/>
      <c r="T486" s="76" t="s">
        <v>276</v>
      </c>
      <c r="U486" s="74" t="s">
        <v>2034</v>
      </c>
      <c r="V486" s="74" t="s">
        <v>376</v>
      </c>
      <c r="W486" s="74"/>
      <c r="Y486" s="74"/>
      <c r="Z486" s="74"/>
      <c r="AA486" s="74"/>
      <c r="AB486" s="74"/>
      <c r="AC486" s="74"/>
      <c r="AD486" s="74"/>
      <c r="AE486" s="74"/>
      <c r="AF486" s="74"/>
      <c r="AG486" s="74"/>
    </row>
    <row r="487">
      <c r="A487" s="73">
        <v>2023.0</v>
      </c>
      <c r="B487" s="73" t="s">
        <v>400</v>
      </c>
      <c r="C487" s="73">
        <v>21.0</v>
      </c>
      <c r="D487" s="74" t="s">
        <v>19</v>
      </c>
      <c r="E487" s="74" t="s">
        <v>50</v>
      </c>
      <c r="F487" s="73">
        <v>582.0</v>
      </c>
      <c r="G487" s="74" t="s">
        <v>154</v>
      </c>
      <c r="H487" s="74" t="s">
        <v>2026</v>
      </c>
      <c r="I487" s="74" t="s">
        <v>2027</v>
      </c>
      <c r="J487" s="73">
        <v>16.0</v>
      </c>
      <c r="K487" s="73">
        <v>1.0</v>
      </c>
      <c r="L487" s="73">
        <v>3.0</v>
      </c>
      <c r="M487" s="73"/>
      <c r="N487" s="75">
        <v>0.45416666666666666</v>
      </c>
      <c r="O487" s="76" t="s">
        <v>276</v>
      </c>
      <c r="P487" s="75">
        <v>0.5180555555555556</v>
      </c>
      <c r="Q487" s="75"/>
      <c r="S487" s="75"/>
      <c r="T487" s="76" t="s">
        <v>1611</v>
      </c>
      <c r="U487" s="74" t="s">
        <v>2034</v>
      </c>
      <c r="V487" s="74" t="s">
        <v>411</v>
      </c>
      <c r="W487" s="74"/>
      <c r="Y487" s="74"/>
      <c r="Z487" s="74"/>
      <c r="AA487" s="74"/>
      <c r="AB487" s="74"/>
      <c r="AC487" s="74"/>
      <c r="AD487" s="74"/>
      <c r="AE487" s="74"/>
      <c r="AF487" s="74"/>
      <c r="AG487" s="74"/>
    </row>
    <row r="488">
      <c r="A488" s="73">
        <v>2023.0</v>
      </c>
      <c r="B488" s="73" t="s">
        <v>400</v>
      </c>
      <c r="C488" s="73">
        <v>21.0</v>
      </c>
      <c r="D488" s="74" t="s">
        <v>19</v>
      </c>
      <c r="E488" s="74" t="s">
        <v>50</v>
      </c>
      <c r="F488" s="73">
        <v>582.0</v>
      </c>
      <c r="G488" s="74" t="s">
        <v>154</v>
      </c>
      <c r="H488" s="74" t="s">
        <v>2026</v>
      </c>
      <c r="I488" s="74" t="s">
        <v>2027</v>
      </c>
      <c r="J488" s="73">
        <v>16.0</v>
      </c>
      <c r="K488" s="73">
        <v>1.0</v>
      </c>
      <c r="L488" s="73">
        <v>4.0</v>
      </c>
      <c r="M488" s="73"/>
      <c r="N488" s="75">
        <v>0.5180555555555556</v>
      </c>
      <c r="O488" s="76" t="s">
        <v>1611</v>
      </c>
      <c r="P488" s="75">
        <v>0.5597222222222222</v>
      </c>
      <c r="Q488" s="75"/>
      <c r="S488" s="75"/>
      <c r="T488" s="76" t="s">
        <v>878</v>
      </c>
      <c r="U488" s="74" t="s">
        <v>2034</v>
      </c>
      <c r="V488" s="74" t="s">
        <v>376</v>
      </c>
      <c r="W488" s="74"/>
      <c r="Y488" s="74"/>
      <c r="Z488" s="74"/>
      <c r="AA488" s="74"/>
      <c r="AB488" s="74"/>
      <c r="AC488" s="74"/>
      <c r="AD488" s="74"/>
      <c r="AE488" s="74"/>
      <c r="AF488" s="74"/>
      <c r="AG488" s="74"/>
    </row>
    <row r="489">
      <c r="A489" s="73">
        <v>2023.0</v>
      </c>
      <c r="B489" s="73" t="s">
        <v>400</v>
      </c>
      <c r="C489" s="73">
        <v>21.0</v>
      </c>
      <c r="D489" s="74" t="s">
        <v>19</v>
      </c>
      <c r="E489" s="74" t="s">
        <v>50</v>
      </c>
      <c r="F489" s="73">
        <v>582.0</v>
      </c>
      <c r="G489" s="74" t="s">
        <v>154</v>
      </c>
      <c r="H489" s="74" t="s">
        <v>2026</v>
      </c>
      <c r="I489" s="74" t="s">
        <v>2027</v>
      </c>
      <c r="J489" s="73">
        <v>16.0</v>
      </c>
      <c r="K489" s="73">
        <v>1.0</v>
      </c>
      <c r="L489" s="73">
        <v>5.0</v>
      </c>
      <c r="M489" s="73"/>
      <c r="N489" s="75">
        <v>0.5597222222222222</v>
      </c>
      <c r="O489" s="76" t="s">
        <v>878</v>
      </c>
      <c r="P489" s="75">
        <v>0.6013888888888889</v>
      </c>
      <c r="Q489" s="75"/>
      <c r="S489" s="75"/>
      <c r="T489" s="76" t="s">
        <v>1580</v>
      </c>
      <c r="U489" s="74" t="s">
        <v>309</v>
      </c>
      <c r="V489" s="74" t="s">
        <v>376</v>
      </c>
      <c r="W489" s="74"/>
      <c r="Y489" s="74"/>
      <c r="Z489" s="74"/>
      <c r="AA489" s="74"/>
      <c r="AB489" s="74"/>
      <c r="AC489" s="74"/>
      <c r="AD489" s="74"/>
      <c r="AE489" s="74"/>
      <c r="AF489" s="74"/>
      <c r="AG489" s="74"/>
    </row>
    <row r="490">
      <c r="A490" s="73">
        <v>2023.0</v>
      </c>
      <c r="B490" s="73" t="s">
        <v>400</v>
      </c>
      <c r="C490" s="73">
        <v>21.0</v>
      </c>
      <c r="D490" s="74" t="s">
        <v>19</v>
      </c>
      <c r="E490" s="74" t="s">
        <v>50</v>
      </c>
      <c r="F490" s="73">
        <v>581.0</v>
      </c>
      <c r="G490" s="74" t="s">
        <v>154</v>
      </c>
      <c r="H490" s="74" t="s">
        <v>2021</v>
      </c>
      <c r="I490" s="74" t="s">
        <v>2022</v>
      </c>
      <c r="J490" s="73">
        <v>19.0</v>
      </c>
      <c r="K490" s="73">
        <v>2.0</v>
      </c>
      <c r="L490" s="73">
        <v>1.0</v>
      </c>
      <c r="M490" s="73"/>
      <c r="N490" s="75">
        <v>0.3736111111111111</v>
      </c>
      <c r="O490" s="76" t="s">
        <v>2038</v>
      </c>
      <c r="P490" s="75">
        <v>0.4145833333333333</v>
      </c>
      <c r="Q490" s="75"/>
      <c r="S490" s="75"/>
      <c r="T490" s="76" t="s">
        <v>2039</v>
      </c>
      <c r="U490" s="74" t="s">
        <v>2034</v>
      </c>
      <c r="V490" s="74" t="s">
        <v>376</v>
      </c>
      <c r="W490" s="74"/>
      <c r="Y490" s="74"/>
      <c r="Z490" s="74"/>
      <c r="AA490" s="74"/>
      <c r="AB490" s="74"/>
      <c r="AC490" s="74"/>
      <c r="AD490" s="74"/>
      <c r="AE490" s="74"/>
      <c r="AF490" s="74"/>
      <c r="AG490" s="74"/>
    </row>
    <row r="491">
      <c r="A491" s="73">
        <v>2023.0</v>
      </c>
      <c r="B491" s="73" t="s">
        <v>400</v>
      </c>
      <c r="C491" s="73">
        <v>21.0</v>
      </c>
      <c r="D491" s="74" t="s">
        <v>19</v>
      </c>
      <c r="E491" s="74" t="s">
        <v>50</v>
      </c>
      <c r="F491" s="73">
        <v>581.0</v>
      </c>
      <c r="G491" s="74" t="s">
        <v>154</v>
      </c>
      <c r="H491" s="74" t="s">
        <v>2021</v>
      </c>
      <c r="I491" s="74" t="s">
        <v>2022</v>
      </c>
      <c r="J491" s="73">
        <v>19.0</v>
      </c>
      <c r="K491" s="73">
        <v>2.0</v>
      </c>
      <c r="L491" s="73">
        <v>2.0</v>
      </c>
      <c r="M491" s="73"/>
      <c r="N491" s="75">
        <v>0.4145833333333333</v>
      </c>
      <c r="O491" s="76" t="s">
        <v>2039</v>
      </c>
      <c r="P491" s="75">
        <v>0.45625</v>
      </c>
      <c r="Q491" s="75"/>
      <c r="S491" s="75"/>
      <c r="T491" s="76" t="s">
        <v>1968</v>
      </c>
      <c r="U491" s="74" t="s">
        <v>2034</v>
      </c>
      <c r="V491" s="74" t="s">
        <v>376</v>
      </c>
      <c r="W491" s="74"/>
      <c r="Y491" s="74"/>
      <c r="Z491" s="74"/>
      <c r="AA491" s="74"/>
      <c r="AB491" s="74"/>
      <c r="AC491" s="74"/>
      <c r="AD491" s="74"/>
      <c r="AE491" s="74"/>
      <c r="AF491" s="74"/>
      <c r="AG491" s="74"/>
    </row>
    <row r="492">
      <c r="A492" s="73">
        <v>2023.0</v>
      </c>
      <c r="B492" s="73" t="s">
        <v>400</v>
      </c>
      <c r="C492" s="73">
        <v>21.0</v>
      </c>
      <c r="D492" s="74" t="s">
        <v>19</v>
      </c>
      <c r="E492" s="74" t="s">
        <v>50</v>
      </c>
      <c r="F492" s="73">
        <v>581.0</v>
      </c>
      <c r="G492" s="74" t="s">
        <v>154</v>
      </c>
      <c r="H492" s="74" t="s">
        <v>2021</v>
      </c>
      <c r="I492" s="74" t="s">
        <v>2022</v>
      </c>
      <c r="J492" s="73">
        <v>19.0</v>
      </c>
      <c r="K492" s="73">
        <v>2.0</v>
      </c>
      <c r="L492" s="73">
        <v>3.0</v>
      </c>
      <c r="M492" s="73"/>
      <c r="N492" s="75">
        <v>0.45625</v>
      </c>
      <c r="O492" s="76" t="s">
        <v>1968</v>
      </c>
      <c r="P492" s="75">
        <v>0.5194444444444445</v>
      </c>
      <c r="Q492" s="75"/>
      <c r="S492" s="75"/>
      <c r="T492" s="76" t="s">
        <v>2040</v>
      </c>
      <c r="U492" s="74" t="s">
        <v>2034</v>
      </c>
      <c r="V492" s="74" t="s">
        <v>411</v>
      </c>
      <c r="W492" s="74"/>
      <c r="Y492" s="74"/>
      <c r="Z492" s="74"/>
      <c r="AA492" s="74"/>
      <c r="AB492" s="74"/>
      <c r="AC492" s="74"/>
      <c r="AD492" s="74"/>
      <c r="AE492" s="74"/>
      <c r="AF492" s="74"/>
      <c r="AG492" s="74"/>
    </row>
    <row r="493">
      <c r="A493" s="73">
        <v>2023.0</v>
      </c>
      <c r="B493" s="73" t="s">
        <v>400</v>
      </c>
      <c r="C493" s="73">
        <v>21.0</v>
      </c>
      <c r="D493" s="74" t="s">
        <v>19</v>
      </c>
      <c r="E493" s="74" t="s">
        <v>50</v>
      </c>
      <c r="F493" s="73">
        <v>581.0</v>
      </c>
      <c r="G493" s="74" t="s">
        <v>154</v>
      </c>
      <c r="H493" s="74" t="s">
        <v>2021</v>
      </c>
      <c r="I493" s="74" t="s">
        <v>2022</v>
      </c>
      <c r="J493" s="73">
        <v>19.0</v>
      </c>
      <c r="K493" s="73">
        <v>2.0</v>
      </c>
      <c r="L493" s="73">
        <v>4.0</v>
      </c>
      <c r="M493" s="73"/>
      <c r="N493" s="75">
        <v>0.5194444444444445</v>
      </c>
      <c r="O493" s="76" t="s">
        <v>2040</v>
      </c>
      <c r="P493" s="75">
        <v>0.5631944444444444</v>
      </c>
      <c r="Q493" s="75"/>
      <c r="S493" s="75"/>
      <c r="T493" s="76" t="s">
        <v>2041</v>
      </c>
      <c r="U493" s="74" t="s">
        <v>2034</v>
      </c>
      <c r="V493" s="74" t="s">
        <v>376</v>
      </c>
      <c r="W493" s="74"/>
      <c r="Y493" s="74"/>
      <c r="Z493" s="74"/>
      <c r="AA493" s="74"/>
      <c r="AB493" s="74"/>
      <c r="AC493" s="74"/>
      <c r="AD493" s="74"/>
      <c r="AE493" s="74"/>
      <c r="AF493" s="74"/>
      <c r="AG493" s="74"/>
    </row>
    <row r="494">
      <c r="A494" s="73">
        <v>2023.0</v>
      </c>
      <c r="B494" s="73" t="s">
        <v>400</v>
      </c>
      <c r="C494" s="73">
        <v>21.0</v>
      </c>
      <c r="D494" s="74" t="s">
        <v>19</v>
      </c>
      <c r="E494" s="74" t="s">
        <v>50</v>
      </c>
      <c r="F494" s="73">
        <v>581.0</v>
      </c>
      <c r="G494" s="74" t="s">
        <v>154</v>
      </c>
      <c r="H494" s="74" t="s">
        <v>2021</v>
      </c>
      <c r="I494" s="74" t="s">
        <v>2022</v>
      </c>
      <c r="J494" s="73">
        <v>19.0</v>
      </c>
      <c r="K494" s="73">
        <v>2.0</v>
      </c>
      <c r="L494" s="73">
        <v>5.0</v>
      </c>
      <c r="M494" s="73"/>
      <c r="N494" s="75">
        <v>0.5631944444444444</v>
      </c>
      <c r="O494" s="76" t="s">
        <v>2041</v>
      </c>
      <c r="P494" s="75">
        <v>0.6069444444444444</v>
      </c>
      <c r="Q494" s="75"/>
      <c r="S494" s="75"/>
      <c r="T494" s="76" t="s">
        <v>1760</v>
      </c>
      <c r="U494" s="74" t="s">
        <v>2042</v>
      </c>
      <c r="V494" s="74" t="s">
        <v>376</v>
      </c>
      <c r="W494" s="74"/>
      <c r="Y494" s="74"/>
      <c r="Z494" s="74"/>
      <c r="AA494" s="74"/>
      <c r="AB494" s="74"/>
      <c r="AC494" s="74"/>
      <c r="AD494" s="74"/>
      <c r="AE494" s="74"/>
      <c r="AF494" s="74"/>
      <c r="AG494" s="74"/>
    </row>
    <row r="495">
      <c r="A495" s="73">
        <v>2023.0</v>
      </c>
      <c r="B495" s="73" t="s">
        <v>400</v>
      </c>
      <c r="C495" s="73">
        <v>21.0</v>
      </c>
      <c r="D495" s="74" t="s">
        <v>19</v>
      </c>
      <c r="E495" s="74" t="s">
        <v>50</v>
      </c>
      <c r="F495" s="73">
        <v>56.0</v>
      </c>
      <c r="G495" s="74" t="s">
        <v>1959</v>
      </c>
      <c r="H495" s="74" t="s">
        <v>2018</v>
      </c>
      <c r="I495" s="74" t="s">
        <v>2019</v>
      </c>
      <c r="J495" s="74" t="s">
        <v>1416</v>
      </c>
      <c r="K495" s="73">
        <v>3.0</v>
      </c>
      <c r="L495" s="73">
        <v>1.0</v>
      </c>
      <c r="M495" s="73"/>
      <c r="N495" s="75">
        <v>0.3756944444444445</v>
      </c>
      <c r="O495" s="76" t="s">
        <v>497</v>
      </c>
      <c r="P495" s="75">
        <v>0.4166666666666667</v>
      </c>
      <c r="Q495" s="75"/>
      <c r="S495" s="75"/>
      <c r="T495" s="76" t="s">
        <v>2043</v>
      </c>
      <c r="U495" s="74" t="s">
        <v>1441</v>
      </c>
      <c r="V495" s="74" t="s">
        <v>422</v>
      </c>
      <c r="W495" s="74"/>
      <c r="Y495" s="74"/>
      <c r="Z495" s="74"/>
      <c r="AA495" s="74"/>
      <c r="AB495" s="74"/>
      <c r="AC495" s="74"/>
      <c r="AD495" s="74"/>
      <c r="AE495" s="74"/>
      <c r="AF495" s="74"/>
      <c r="AG495" s="74"/>
    </row>
    <row r="496">
      <c r="A496" s="73">
        <v>2023.0</v>
      </c>
      <c r="B496" s="73" t="s">
        <v>400</v>
      </c>
      <c r="C496" s="73">
        <v>21.0</v>
      </c>
      <c r="D496" s="74" t="s">
        <v>19</v>
      </c>
      <c r="E496" s="74" t="s">
        <v>50</v>
      </c>
      <c r="F496" s="73">
        <v>56.0</v>
      </c>
      <c r="G496" s="74" t="s">
        <v>1959</v>
      </c>
      <c r="H496" s="74" t="s">
        <v>2018</v>
      </c>
      <c r="I496" s="74" t="s">
        <v>2019</v>
      </c>
      <c r="J496" s="74" t="s">
        <v>1416</v>
      </c>
      <c r="K496" s="73">
        <v>3.0</v>
      </c>
      <c r="L496" s="73">
        <v>2.0</v>
      </c>
      <c r="M496" s="73"/>
      <c r="N496" s="75">
        <v>0.4166666666666667</v>
      </c>
      <c r="O496" s="76" t="s">
        <v>2043</v>
      </c>
      <c r="P496" s="75">
        <v>0.4583333333333333</v>
      </c>
      <c r="Q496" s="75"/>
      <c r="S496" s="75"/>
      <c r="T496" s="76" t="s">
        <v>410</v>
      </c>
      <c r="U496" s="74" t="s">
        <v>1441</v>
      </c>
      <c r="V496" s="74" t="s">
        <v>1594</v>
      </c>
      <c r="W496" s="74"/>
      <c r="Y496" s="74"/>
      <c r="Z496" s="74"/>
      <c r="AA496" s="74"/>
      <c r="AB496" s="74"/>
      <c r="AC496" s="74"/>
      <c r="AD496" s="74"/>
      <c r="AE496" s="74"/>
      <c r="AF496" s="74"/>
      <c r="AG496" s="74"/>
    </row>
    <row r="497">
      <c r="A497" s="73">
        <v>2023.0</v>
      </c>
      <c r="B497" s="73" t="s">
        <v>400</v>
      </c>
      <c r="C497" s="73">
        <v>21.0</v>
      </c>
      <c r="D497" s="74" t="s">
        <v>19</v>
      </c>
      <c r="E497" s="74" t="s">
        <v>50</v>
      </c>
      <c r="F497" s="73">
        <v>56.0</v>
      </c>
      <c r="G497" s="74" t="s">
        <v>1959</v>
      </c>
      <c r="H497" s="74" t="s">
        <v>2018</v>
      </c>
      <c r="I497" s="74" t="s">
        <v>2019</v>
      </c>
      <c r="J497" s="74" t="s">
        <v>1416</v>
      </c>
      <c r="K497" s="73">
        <v>3.0</v>
      </c>
      <c r="L497" s="73">
        <v>3.0</v>
      </c>
      <c r="M497" s="73"/>
      <c r="N497" s="75">
        <v>0.4583333333333333</v>
      </c>
      <c r="O497" s="76" t="s">
        <v>410</v>
      </c>
      <c r="P497" s="75">
        <v>0.5215277777777778</v>
      </c>
      <c r="Q497" s="75"/>
      <c r="S497" s="75"/>
      <c r="T497" s="76" t="s">
        <v>1470</v>
      </c>
      <c r="U497" s="74" t="s">
        <v>1441</v>
      </c>
      <c r="V497" s="74" t="s">
        <v>376</v>
      </c>
      <c r="W497" s="74"/>
      <c r="Y497" s="74"/>
      <c r="Z497" s="74"/>
      <c r="AA497" s="74"/>
      <c r="AB497" s="74"/>
      <c r="AC497" s="74"/>
      <c r="AD497" s="74"/>
      <c r="AE497" s="74"/>
      <c r="AF497" s="74"/>
      <c r="AG497" s="74"/>
    </row>
    <row r="498">
      <c r="A498" s="73">
        <v>2023.0</v>
      </c>
      <c r="B498" s="73" t="s">
        <v>400</v>
      </c>
      <c r="C498" s="73">
        <v>21.0</v>
      </c>
      <c r="D498" s="74" t="s">
        <v>19</v>
      </c>
      <c r="E498" s="74" t="s">
        <v>50</v>
      </c>
      <c r="F498" s="73">
        <v>56.0</v>
      </c>
      <c r="G498" s="74" t="s">
        <v>1959</v>
      </c>
      <c r="H498" s="74" t="s">
        <v>2018</v>
      </c>
      <c r="I498" s="74" t="s">
        <v>2019</v>
      </c>
      <c r="J498" s="74" t="s">
        <v>1416</v>
      </c>
      <c r="K498" s="73">
        <v>3.0</v>
      </c>
      <c r="L498" s="73">
        <v>4.0</v>
      </c>
      <c r="M498" s="73"/>
      <c r="N498" s="75">
        <v>0.5215277777777778</v>
      </c>
      <c r="O498" s="76" t="s">
        <v>1470</v>
      </c>
      <c r="P498" s="75">
        <v>0.5659722222222222</v>
      </c>
      <c r="Q498" s="75"/>
      <c r="S498" s="75"/>
      <c r="T498" s="76" t="s">
        <v>507</v>
      </c>
      <c r="U498" s="74" t="s">
        <v>1441</v>
      </c>
      <c r="V498" s="74" t="s">
        <v>376</v>
      </c>
      <c r="W498" s="74"/>
      <c r="Y498" s="74"/>
      <c r="Z498" s="74"/>
      <c r="AA498" s="74"/>
      <c r="AB498" s="74"/>
      <c r="AC498" s="74"/>
      <c r="AD498" s="74"/>
      <c r="AE498" s="74"/>
      <c r="AF498" s="74"/>
      <c r="AG498" s="74"/>
    </row>
    <row r="499">
      <c r="A499" s="73">
        <v>2023.0</v>
      </c>
      <c r="B499" s="73" t="s">
        <v>400</v>
      </c>
      <c r="C499" s="73">
        <v>21.0</v>
      </c>
      <c r="D499" s="74" t="s">
        <v>19</v>
      </c>
      <c r="E499" s="74" t="s">
        <v>50</v>
      </c>
      <c r="F499" s="73">
        <v>56.0</v>
      </c>
      <c r="G499" s="74" t="s">
        <v>1959</v>
      </c>
      <c r="H499" s="74" t="s">
        <v>2018</v>
      </c>
      <c r="I499" s="74" t="s">
        <v>2019</v>
      </c>
      <c r="J499" s="74" t="s">
        <v>1416</v>
      </c>
      <c r="K499" s="73">
        <v>3.0</v>
      </c>
      <c r="L499" s="73">
        <v>5.0</v>
      </c>
      <c r="M499" s="73"/>
      <c r="N499" s="75">
        <v>0.5659722222222222</v>
      </c>
      <c r="O499" s="76" t="s">
        <v>507</v>
      </c>
      <c r="P499" s="75">
        <v>0.611111111111111</v>
      </c>
      <c r="Q499" s="75"/>
      <c r="S499" s="75"/>
      <c r="T499" s="76" t="s">
        <v>2044</v>
      </c>
      <c r="U499" s="74" t="s">
        <v>1441</v>
      </c>
      <c r="V499" s="74" t="s">
        <v>376</v>
      </c>
      <c r="W499" s="74" t="s">
        <v>2045</v>
      </c>
      <c r="Y499" s="74"/>
      <c r="Z499" s="74"/>
      <c r="AA499" s="74"/>
      <c r="AB499" s="74"/>
      <c r="AC499" s="74"/>
      <c r="AD499" s="74"/>
      <c r="AE499" s="74"/>
      <c r="AF499" s="74"/>
      <c r="AG499" s="74"/>
    </row>
    <row r="500">
      <c r="A500" s="73">
        <v>2023.0</v>
      </c>
      <c r="B500" s="73" t="s">
        <v>400</v>
      </c>
      <c r="C500" s="73">
        <v>21.0</v>
      </c>
      <c r="D500" s="74" t="s">
        <v>19</v>
      </c>
      <c r="E500" s="74" t="s">
        <v>50</v>
      </c>
      <c r="F500" s="73">
        <v>545.0</v>
      </c>
      <c r="G500" s="74" t="s">
        <v>154</v>
      </c>
      <c r="H500" s="74" t="s">
        <v>1583</v>
      </c>
      <c r="I500" s="74" t="s">
        <v>1584</v>
      </c>
      <c r="J500" s="73">
        <v>20.0</v>
      </c>
      <c r="K500" s="73">
        <v>4.0</v>
      </c>
      <c r="L500" s="73">
        <v>1.0</v>
      </c>
      <c r="M500" s="73"/>
      <c r="N500" s="75">
        <v>0.37986111111111115</v>
      </c>
      <c r="O500" s="76" t="s">
        <v>2046</v>
      </c>
      <c r="P500" s="75">
        <v>0.4201388888888889</v>
      </c>
      <c r="Q500" s="75"/>
      <c r="S500" s="75"/>
      <c r="T500" s="76" t="s">
        <v>1800</v>
      </c>
      <c r="U500" s="74" t="s">
        <v>2042</v>
      </c>
      <c r="V500" s="74" t="s">
        <v>376</v>
      </c>
      <c r="W500" s="74"/>
      <c r="Y500" s="74"/>
      <c r="Z500" s="74"/>
      <c r="AA500" s="74"/>
      <c r="AB500" s="74"/>
      <c r="AC500" s="74"/>
      <c r="AD500" s="74"/>
      <c r="AE500" s="74"/>
      <c r="AF500" s="74"/>
      <c r="AG500" s="74"/>
    </row>
    <row r="501">
      <c r="A501" s="73">
        <v>2023.0</v>
      </c>
      <c r="B501" s="73" t="s">
        <v>400</v>
      </c>
      <c r="C501" s="73">
        <v>21.0</v>
      </c>
      <c r="D501" s="74" t="s">
        <v>19</v>
      </c>
      <c r="E501" s="74" t="s">
        <v>50</v>
      </c>
      <c r="F501" s="73">
        <v>545.0</v>
      </c>
      <c r="G501" s="74" t="s">
        <v>154</v>
      </c>
      <c r="H501" s="74" t="s">
        <v>1583</v>
      </c>
      <c r="I501" s="74" t="s">
        <v>1584</v>
      </c>
      <c r="J501" s="73">
        <v>20.0</v>
      </c>
      <c r="K501" s="73">
        <v>4.0</v>
      </c>
      <c r="L501" s="73">
        <v>2.0</v>
      </c>
      <c r="M501" s="73"/>
      <c r="N501" s="75">
        <v>0.4201388888888889</v>
      </c>
      <c r="O501" s="76" t="s">
        <v>1800</v>
      </c>
      <c r="P501" s="75">
        <v>0.4708333333333334</v>
      </c>
      <c r="Q501" s="75"/>
      <c r="S501" s="75"/>
      <c r="T501" s="76" t="s">
        <v>2047</v>
      </c>
      <c r="U501" s="74" t="s">
        <v>2042</v>
      </c>
      <c r="V501" s="74" t="s">
        <v>376</v>
      </c>
      <c r="W501" s="74"/>
      <c r="Y501" s="74"/>
      <c r="Z501" s="74"/>
      <c r="AA501" s="74"/>
      <c r="AB501" s="74"/>
      <c r="AC501" s="74"/>
      <c r="AD501" s="74"/>
      <c r="AE501" s="74"/>
      <c r="AF501" s="74"/>
      <c r="AG501" s="74"/>
    </row>
    <row r="502">
      <c r="A502" s="73">
        <v>2023.0</v>
      </c>
      <c r="B502" s="73" t="s">
        <v>400</v>
      </c>
      <c r="C502" s="73">
        <v>21.0</v>
      </c>
      <c r="D502" s="74" t="s">
        <v>19</v>
      </c>
      <c r="E502" s="74" t="s">
        <v>50</v>
      </c>
      <c r="F502" s="73">
        <v>545.0</v>
      </c>
      <c r="G502" s="74" t="s">
        <v>154</v>
      </c>
      <c r="H502" s="74" t="s">
        <v>1583</v>
      </c>
      <c r="I502" s="74" t="s">
        <v>1584</v>
      </c>
      <c r="J502" s="73">
        <v>20.0</v>
      </c>
      <c r="K502" s="73">
        <v>4.0</v>
      </c>
      <c r="L502" s="73">
        <v>3.0</v>
      </c>
      <c r="M502" s="73"/>
      <c r="N502" s="75">
        <v>0.4708333333333334</v>
      </c>
      <c r="O502" s="76" t="s">
        <v>2047</v>
      </c>
      <c r="P502" s="75">
        <v>0.525</v>
      </c>
      <c r="Q502" s="75"/>
      <c r="S502" s="75"/>
      <c r="T502" s="76" t="s">
        <v>2048</v>
      </c>
      <c r="U502" s="74" t="s">
        <v>2042</v>
      </c>
      <c r="V502" s="74" t="s">
        <v>376</v>
      </c>
      <c r="W502" s="74"/>
      <c r="Y502" s="74"/>
      <c r="Z502" s="74"/>
      <c r="AA502" s="74"/>
      <c r="AB502" s="74"/>
      <c r="AC502" s="74"/>
      <c r="AD502" s="74"/>
      <c r="AE502" s="74"/>
      <c r="AF502" s="74"/>
      <c r="AG502" s="74"/>
    </row>
    <row r="503">
      <c r="A503" s="73">
        <v>2023.0</v>
      </c>
      <c r="B503" s="73" t="s">
        <v>400</v>
      </c>
      <c r="C503" s="73">
        <v>21.0</v>
      </c>
      <c r="D503" s="74" t="s">
        <v>19</v>
      </c>
      <c r="E503" s="74" t="s">
        <v>50</v>
      </c>
      <c r="F503" s="73">
        <v>545.0</v>
      </c>
      <c r="G503" s="74" t="s">
        <v>154</v>
      </c>
      <c r="H503" s="74" t="s">
        <v>1583</v>
      </c>
      <c r="I503" s="74" t="s">
        <v>1584</v>
      </c>
      <c r="J503" s="73">
        <v>20.0</v>
      </c>
      <c r="K503" s="73">
        <v>4.0</v>
      </c>
      <c r="L503" s="73">
        <v>4.0</v>
      </c>
      <c r="M503" s="73"/>
      <c r="N503" s="75">
        <v>0.525</v>
      </c>
      <c r="O503" s="76" t="s">
        <v>2048</v>
      </c>
      <c r="P503" s="75">
        <v>0.5694444444444444</v>
      </c>
      <c r="Q503" s="75"/>
      <c r="S503" s="75"/>
      <c r="T503" s="76" t="s">
        <v>561</v>
      </c>
      <c r="U503" s="74" t="s">
        <v>2042</v>
      </c>
      <c r="V503" s="74" t="s">
        <v>376</v>
      </c>
      <c r="W503" s="74"/>
      <c r="Y503" s="74"/>
      <c r="Z503" s="74"/>
      <c r="AA503" s="74"/>
      <c r="AB503" s="74"/>
      <c r="AC503" s="74"/>
      <c r="AD503" s="74"/>
      <c r="AE503" s="74"/>
      <c r="AF503" s="74"/>
      <c r="AG503" s="74"/>
    </row>
    <row r="504">
      <c r="A504" s="73">
        <v>2023.0</v>
      </c>
      <c r="B504" s="73" t="s">
        <v>400</v>
      </c>
      <c r="C504" s="73">
        <v>21.0</v>
      </c>
      <c r="D504" s="74" t="s">
        <v>19</v>
      </c>
      <c r="E504" s="74" t="s">
        <v>50</v>
      </c>
      <c r="F504" s="73">
        <v>545.0</v>
      </c>
      <c r="G504" s="74" t="s">
        <v>154</v>
      </c>
      <c r="H504" s="74" t="s">
        <v>1583</v>
      </c>
      <c r="I504" s="74" t="s">
        <v>1584</v>
      </c>
      <c r="J504" s="73">
        <v>20.0</v>
      </c>
      <c r="K504" s="73">
        <v>4.0</v>
      </c>
      <c r="L504" s="73">
        <v>5.0</v>
      </c>
      <c r="M504" s="73"/>
      <c r="N504" s="75">
        <v>0.5694444444444444</v>
      </c>
      <c r="O504" s="76" t="s">
        <v>561</v>
      </c>
      <c r="P504" s="75">
        <v>0.6138888888888888</v>
      </c>
      <c r="Q504" s="75"/>
      <c r="S504" s="75"/>
      <c r="T504" s="76" t="s">
        <v>1660</v>
      </c>
      <c r="U504" s="74" t="s">
        <v>1441</v>
      </c>
      <c r="V504" s="74" t="s">
        <v>376</v>
      </c>
      <c r="W504" s="74"/>
      <c r="Y504" s="74"/>
      <c r="Z504" s="74"/>
      <c r="AA504" s="74"/>
      <c r="AB504" s="74"/>
      <c r="AC504" s="74"/>
      <c r="AD504" s="74"/>
      <c r="AE504" s="74"/>
      <c r="AF504" s="74"/>
      <c r="AG504" s="74"/>
    </row>
    <row r="505">
      <c r="A505" s="73">
        <v>2023.0</v>
      </c>
      <c r="B505" s="73" t="s">
        <v>400</v>
      </c>
      <c r="C505" s="73">
        <v>21.0</v>
      </c>
      <c r="D505" s="74" t="s">
        <v>19</v>
      </c>
      <c r="E505" s="74" t="s">
        <v>50</v>
      </c>
      <c r="F505" s="73">
        <v>544.0</v>
      </c>
      <c r="G505" s="74" t="s">
        <v>154</v>
      </c>
      <c r="H505" s="74" t="s">
        <v>1576</v>
      </c>
      <c r="I505" s="74" t="s">
        <v>1577</v>
      </c>
      <c r="J505" s="73">
        <v>20.0</v>
      </c>
      <c r="K505" s="73">
        <v>5.0</v>
      </c>
      <c r="L505" s="73">
        <v>1.0</v>
      </c>
      <c r="M505" s="73"/>
      <c r="N505" s="75">
        <v>0.3826388888888889</v>
      </c>
      <c r="O505" s="76" t="s">
        <v>1579</v>
      </c>
      <c r="P505" s="75">
        <v>0.4215277777777778</v>
      </c>
      <c r="Q505" s="75"/>
      <c r="S505" s="75"/>
      <c r="T505" s="76" t="s">
        <v>2049</v>
      </c>
      <c r="U505" s="74" t="s">
        <v>2050</v>
      </c>
      <c r="V505" s="74" t="s">
        <v>376</v>
      </c>
      <c r="W505" s="74"/>
      <c r="Y505" s="74"/>
      <c r="Z505" s="74"/>
      <c r="AA505" s="74"/>
      <c r="AB505" s="74"/>
      <c r="AC505" s="74"/>
      <c r="AD505" s="74"/>
      <c r="AE505" s="74"/>
      <c r="AF505" s="74"/>
      <c r="AG505" s="74"/>
    </row>
    <row r="506">
      <c r="A506" s="73">
        <v>2023.0</v>
      </c>
      <c r="B506" s="73" t="s">
        <v>400</v>
      </c>
      <c r="C506" s="73">
        <v>21.0</v>
      </c>
      <c r="D506" s="74" t="s">
        <v>19</v>
      </c>
      <c r="E506" s="74" t="s">
        <v>50</v>
      </c>
      <c r="F506" s="73">
        <v>544.0</v>
      </c>
      <c r="G506" s="74" t="s">
        <v>154</v>
      </c>
      <c r="H506" s="74" t="s">
        <v>1576</v>
      </c>
      <c r="I506" s="74" t="s">
        <v>1577</v>
      </c>
      <c r="J506" s="73">
        <v>20.0</v>
      </c>
      <c r="K506" s="73">
        <v>5.0</v>
      </c>
      <c r="L506" s="73">
        <v>2.0</v>
      </c>
      <c r="M506" s="73"/>
      <c r="N506" s="75">
        <v>0.4215277777777778</v>
      </c>
      <c r="O506" s="76" t="s">
        <v>2049</v>
      </c>
      <c r="P506" s="75">
        <v>0.47291666666666665</v>
      </c>
      <c r="Q506" s="75"/>
      <c r="S506" s="75"/>
      <c r="T506" s="76" t="s">
        <v>1816</v>
      </c>
      <c r="U506" s="74" t="s">
        <v>2050</v>
      </c>
      <c r="V506" s="74" t="s">
        <v>376</v>
      </c>
      <c r="W506" s="74"/>
      <c r="Y506" s="74"/>
      <c r="Z506" s="74"/>
      <c r="AA506" s="74"/>
      <c r="AB506" s="74"/>
      <c r="AC506" s="74"/>
      <c r="AD506" s="74"/>
      <c r="AE506" s="74"/>
      <c r="AF506" s="74"/>
      <c r="AG506" s="74"/>
    </row>
    <row r="507">
      <c r="A507" s="73">
        <v>2023.0</v>
      </c>
      <c r="B507" s="73" t="s">
        <v>400</v>
      </c>
      <c r="C507" s="73">
        <v>21.0</v>
      </c>
      <c r="D507" s="74" t="s">
        <v>19</v>
      </c>
      <c r="E507" s="74" t="s">
        <v>50</v>
      </c>
      <c r="F507" s="73">
        <v>544.0</v>
      </c>
      <c r="G507" s="74" t="s">
        <v>154</v>
      </c>
      <c r="H507" s="74" t="s">
        <v>1576</v>
      </c>
      <c r="I507" s="74" t="s">
        <v>1577</v>
      </c>
      <c r="J507" s="73">
        <v>20.0</v>
      </c>
      <c r="K507" s="73">
        <v>5.0</v>
      </c>
      <c r="L507" s="73">
        <v>3.0</v>
      </c>
      <c r="M507" s="73"/>
      <c r="N507" s="75">
        <v>0.47291666666666665</v>
      </c>
      <c r="O507" s="76" t="s">
        <v>1816</v>
      </c>
      <c r="P507" s="75">
        <v>0.5256944444444445</v>
      </c>
      <c r="Q507" s="75"/>
      <c r="S507" s="75"/>
      <c r="T507" s="76" t="s">
        <v>1911</v>
      </c>
      <c r="U507" s="74" t="s">
        <v>2050</v>
      </c>
      <c r="V507" s="74" t="s">
        <v>376</v>
      </c>
      <c r="W507" s="74"/>
      <c r="Y507" s="74"/>
      <c r="Z507" s="74"/>
      <c r="AA507" s="74"/>
      <c r="AB507" s="74"/>
      <c r="AC507" s="74"/>
      <c r="AD507" s="74"/>
      <c r="AE507" s="74"/>
      <c r="AF507" s="74"/>
      <c r="AG507" s="74"/>
    </row>
    <row r="508">
      <c r="A508" s="73">
        <v>2023.0</v>
      </c>
      <c r="B508" s="73" t="s">
        <v>400</v>
      </c>
      <c r="C508" s="73">
        <v>21.0</v>
      </c>
      <c r="D508" s="74" t="s">
        <v>19</v>
      </c>
      <c r="E508" s="74" t="s">
        <v>50</v>
      </c>
      <c r="F508" s="73">
        <v>544.0</v>
      </c>
      <c r="G508" s="74" t="s">
        <v>154</v>
      </c>
      <c r="H508" s="74" t="s">
        <v>1576</v>
      </c>
      <c r="I508" s="74" t="s">
        <v>1577</v>
      </c>
      <c r="J508" s="73">
        <v>20.0</v>
      </c>
      <c r="K508" s="73">
        <v>5.0</v>
      </c>
      <c r="L508" s="73">
        <v>4.0</v>
      </c>
      <c r="M508" s="73"/>
      <c r="N508" s="75">
        <v>0.5256944444444445</v>
      </c>
      <c r="O508" s="76" t="s">
        <v>1911</v>
      </c>
      <c r="P508" s="75">
        <v>0.5715277777777777</v>
      </c>
      <c r="Q508" s="75"/>
      <c r="S508" s="75"/>
      <c r="T508" s="76" t="s">
        <v>1945</v>
      </c>
      <c r="U508" s="74" t="s">
        <v>2050</v>
      </c>
      <c r="V508" s="74" t="s">
        <v>376</v>
      </c>
      <c r="W508" s="74" t="s">
        <v>2051</v>
      </c>
      <c r="Y508" s="74"/>
      <c r="Z508" s="74"/>
      <c r="AA508" s="74"/>
      <c r="AB508" s="74"/>
      <c r="AC508" s="74"/>
      <c r="AD508" s="74"/>
      <c r="AE508" s="74"/>
      <c r="AF508" s="74"/>
      <c r="AG508" s="74"/>
    </row>
    <row r="509">
      <c r="A509" s="73">
        <v>2023.0</v>
      </c>
      <c r="B509" s="73" t="s">
        <v>400</v>
      </c>
      <c r="C509" s="73">
        <v>21.0</v>
      </c>
      <c r="D509" s="74" t="s">
        <v>19</v>
      </c>
      <c r="E509" s="74" t="s">
        <v>50</v>
      </c>
      <c r="F509" s="73">
        <v>544.0</v>
      </c>
      <c r="G509" s="74" t="s">
        <v>154</v>
      </c>
      <c r="H509" s="74" t="s">
        <v>1576</v>
      </c>
      <c r="I509" s="74" t="s">
        <v>1577</v>
      </c>
      <c r="J509" s="73">
        <v>20.0</v>
      </c>
      <c r="K509" s="73">
        <v>5.0</v>
      </c>
      <c r="L509" s="73">
        <v>5.0</v>
      </c>
      <c r="M509" s="73"/>
      <c r="N509" s="75">
        <v>0.5715277777777777</v>
      </c>
      <c r="O509" s="76" t="s">
        <v>1945</v>
      </c>
      <c r="P509" s="75">
        <v>0.6166666666666667</v>
      </c>
      <c r="Q509" s="75"/>
      <c r="S509" s="75"/>
      <c r="T509" s="76" t="s">
        <v>1936</v>
      </c>
      <c r="U509" s="74" t="s">
        <v>2052</v>
      </c>
      <c r="V509" s="74" t="s">
        <v>376</v>
      </c>
      <c r="W509" s="74"/>
      <c r="Y509" s="74"/>
      <c r="Z509" s="74"/>
      <c r="AA509" s="74"/>
      <c r="AB509" s="74"/>
      <c r="AC509" s="74"/>
      <c r="AD509" s="74"/>
      <c r="AE509" s="74"/>
      <c r="AF509" s="74"/>
      <c r="AG509" s="74"/>
    </row>
    <row r="510">
      <c r="A510" s="73">
        <v>2023.0</v>
      </c>
      <c r="B510" s="73" t="s">
        <v>400</v>
      </c>
      <c r="C510" s="73">
        <v>21.0</v>
      </c>
      <c r="D510" s="74" t="s">
        <v>19</v>
      </c>
      <c r="E510" s="74" t="s">
        <v>50</v>
      </c>
      <c r="F510" s="73">
        <v>39.0</v>
      </c>
      <c r="G510" s="74" t="s">
        <v>1959</v>
      </c>
      <c r="H510" s="74" t="s">
        <v>2010</v>
      </c>
      <c r="I510" s="74" t="s">
        <v>2011</v>
      </c>
      <c r="J510" s="73">
        <v>18.0</v>
      </c>
      <c r="K510" s="73">
        <v>6.0</v>
      </c>
      <c r="L510" s="73">
        <v>1.0</v>
      </c>
      <c r="M510" s="73"/>
      <c r="N510" s="75">
        <v>0.3861111111111111</v>
      </c>
      <c r="O510" s="76" t="s">
        <v>2053</v>
      </c>
      <c r="P510" s="75">
        <v>0.42430555555555555</v>
      </c>
      <c r="Q510" s="75"/>
      <c r="S510" s="75"/>
      <c r="T510" s="76" t="s">
        <v>2054</v>
      </c>
      <c r="U510" s="74" t="s">
        <v>2042</v>
      </c>
      <c r="V510" s="74" t="s">
        <v>411</v>
      </c>
      <c r="W510" s="74"/>
      <c r="Y510" s="74"/>
      <c r="Z510" s="74"/>
      <c r="AA510" s="74"/>
      <c r="AB510" s="74"/>
      <c r="AC510" s="74"/>
      <c r="AD510" s="74"/>
      <c r="AE510" s="74"/>
      <c r="AF510" s="74"/>
      <c r="AG510" s="74"/>
    </row>
    <row r="511">
      <c r="A511" s="73">
        <v>2023.0</v>
      </c>
      <c r="B511" s="73" t="s">
        <v>400</v>
      </c>
      <c r="C511" s="73">
        <v>21.0</v>
      </c>
      <c r="D511" s="74" t="s">
        <v>19</v>
      </c>
      <c r="E511" s="74" t="s">
        <v>50</v>
      </c>
      <c r="F511" s="73">
        <v>39.0</v>
      </c>
      <c r="G511" s="74" t="s">
        <v>1959</v>
      </c>
      <c r="H511" s="74" t="s">
        <v>2010</v>
      </c>
      <c r="I511" s="74" t="s">
        <v>2011</v>
      </c>
      <c r="J511" s="73">
        <v>18.0</v>
      </c>
      <c r="K511" s="73">
        <v>6.0</v>
      </c>
      <c r="L511" s="73">
        <v>2.0</v>
      </c>
      <c r="M511" s="73"/>
      <c r="N511" s="75">
        <v>0.42430555555555555</v>
      </c>
      <c r="O511" s="76" t="s">
        <v>2054</v>
      </c>
      <c r="P511" s="75">
        <v>0.4756944444444444</v>
      </c>
      <c r="Q511" s="75"/>
      <c r="S511" s="75"/>
      <c r="T511" s="76" t="s">
        <v>316</v>
      </c>
      <c r="U511" s="74" t="s">
        <v>2042</v>
      </c>
      <c r="V511" s="74" t="s">
        <v>411</v>
      </c>
      <c r="W511" s="74"/>
      <c r="Y511" s="74"/>
      <c r="Z511" s="74"/>
      <c r="AA511" s="74"/>
      <c r="AB511" s="74"/>
      <c r="AC511" s="74"/>
      <c r="AD511" s="74"/>
      <c r="AE511" s="74"/>
      <c r="AF511" s="74"/>
      <c r="AG511" s="74"/>
    </row>
    <row r="512">
      <c r="A512" s="73">
        <v>2023.0</v>
      </c>
      <c r="B512" s="73" t="s">
        <v>400</v>
      </c>
      <c r="C512" s="73">
        <v>21.0</v>
      </c>
      <c r="D512" s="74" t="s">
        <v>19</v>
      </c>
      <c r="E512" s="74" t="s">
        <v>50</v>
      </c>
      <c r="F512" s="73">
        <v>39.0</v>
      </c>
      <c r="G512" s="74" t="s">
        <v>1959</v>
      </c>
      <c r="H512" s="74" t="s">
        <v>2010</v>
      </c>
      <c r="I512" s="74" t="s">
        <v>2011</v>
      </c>
      <c r="J512" s="73">
        <v>18.0</v>
      </c>
      <c r="K512" s="73">
        <v>6.0</v>
      </c>
      <c r="L512" s="73">
        <v>3.0</v>
      </c>
      <c r="M512" s="73"/>
      <c r="N512" s="75">
        <v>0.4756944444444444</v>
      </c>
      <c r="O512" s="76" t="s">
        <v>316</v>
      </c>
      <c r="P512" s="75">
        <v>0.48541666666666666</v>
      </c>
      <c r="Q512" s="75"/>
      <c r="S512" s="75"/>
      <c r="T512" s="76" t="s">
        <v>1712</v>
      </c>
      <c r="U512" s="74" t="s">
        <v>2034</v>
      </c>
      <c r="V512" s="74" t="s">
        <v>376</v>
      </c>
      <c r="W512" s="74"/>
      <c r="Y512" s="74"/>
      <c r="Z512" s="74"/>
      <c r="AA512" s="74"/>
      <c r="AB512" s="74"/>
      <c r="AC512" s="74"/>
      <c r="AD512" s="74"/>
      <c r="AE512" s="74"/>
      <c r="AF512" s="74"/>
      <c r="AG512" s="74"/>
    </row>
    <row r="513">
      <c r="A513" s="73">
        <v>2023.0</v>
      </c>
      <c r="B513" s="73" t="s">
        <v>400</v>
      </c>
      <c r="C513" s="73">
        <v>21.0</v>
      </c>
      <c r="D513" s="74" t="s">
        <v>19</v>
      </c>
      <c r="E513" s="74" t="s">
        <v>50</v>
      </c>
      <c r="F513" s="73">
        <v>39.0</v>
      </c>
      <c r="G513" s="74" t="s">
        <v>1959</v>
      </c>
      <c r="H513" s="74" t="s">
        <v>2010</v>
      </c>
      <c r="I513" s="74" t="s">
        <v>2011</v>
      </c>
      <c r="J513" s="73">
        <v>18.0</v>
      </c>
      <c r="K513" s="73">
        <v>6.0</v>
      </c>
      <c r="L513" s="73">
        <v>4.0</v>
      </c>
      <c r="M513" s="73"/>
      <c r="N513" s="75">
        <v>0.48541666666666666</v>
      </c>
      <c r="O513" s="76" t="s">
        <v>1712</v>
      </c>
      <c r="P513" s="75">
        <v>0.5270833333333333</v>
      </c>
      <c r="Q513" s="75"/>
      <c r="S513" s="75"/>
      <c r="T513" s="76" t="s">
        <v>1865</v>
      </c>
      <c r="U513" s="74" t="s">
        <v>2034</v>
      </c>
      <c r="V513" s="74" t="s">
        <v>411</v>
      </c>
      <c r="W513" s="74"/>
      <c r="Y513" s="74"/>
      <c r="Z513" s="74"/>
      <c r="AA513" s="74"/>
      <c r="AB513" s="74"/>
      <c r="AC513" s="74"/>
      <c r="AD513" s="74"/>
      <c r="AE513" s="74"/>
      <c r="AF513" s="74"/>
      <c r="AG513" s="74"/>
    </row>
    <row r="514">
      <c r="A514" s="73">
        <v>2023.0</v>
      </c>
      <c r="B514" s="73" t="s">
        <v>400</v>
      </c>
      <c r="C514" s="73">
        <v>21.0</v>
      </c>
      <c r="D514" s="74" t="s">
        <v>19</v>
      </c>
      <c r="E514" s="74" t="s">
        <v>50</v>
      </c>
      <c r="F514" s="73">
        <v>39.0</v>
      </c>
      <c r="G514" s="74" t="s">
        <v>1959</v>
      </c>
      <c r="H514" s="74" t="s">
        <v>2010</v>
      </c>
      <c r="I514" s="74" t="s">
        <v>2011</v>
      </c>
      <c r="J514" s="73">
        <v>18.0</v>
      </c>
      <c r="K514" s="73">
        <v>6.0</v>
      </c>
      <c r="L514" s="73">
        <v>5.0</v>
      </c>
      <c r="M514" s="73"/>
      <c r="N514" s="75">
        <v>0.5270833333333333</v>
      </c>
      <c r="O514" s="76" t="s">
        <v>1865</v>
      </c>
      <c r="P514" s="75">
        <v>0.5743055555555555</v>
      </c>
      <c r="Q514" s="75"/>
      <c r="S514" s="75"/>
      <c r="T514" s="76" t="s">
        <v>2055</v>
      </c>
      <c r="U514" s="74" t="s">
        <v>1434</v>
      </c>
      <c r="V514" s="74" t="s">
        <v>376</v>
      </c>
      <c r="W514" s="74"/>
      <c r="Y514" s="74"/>
      <c r="Z514" s="74"/>
      <c r="AA514" s="74"/>
      <c r="AB514" s="74"/>
      <c r="AC514" s="74"/>
      <c r="AD514" s="74"/>
      <c r="AE514" s="74"/>
      <c r="AF514" s="74"/>
      <c r="AG514" s="74"/>
    </row>
    <row r="515">
      <c r="A515" s="73">
        <v>2023.0</v>
      </c>
      <c r="B515" s="73" t="s">
        <v>400</v>
      </c>
      <c r="C515" s="73">
        <v>21.0</v>
      </c>
      <c r="D515" s="74" t="s">
        <v>19</v>
      </c>
      <c r="E515" s="74" t="s">
        <v>50</v>
      </c>
      <c r="F515" s="73">
        <v>39.0</v>
      </c>
      <c r="G515" s="74" t="s">
        <v>1959</v>
      </c>
      <c r="H515" s="74" t="s">
        <v>2010</v>
      </c>
      <c r="I515" s="74" t="s">
        <v>2011</v>
      </c>
      <c r="J515" s="73">
        <v>18.0</v>
      </c>
      <c r="K515" s="73">
        <v>6.0</v>
      </c>
      <c r="L515" s="73">
        <v>6.0</v>
      </c>
      <c r="M515" s="73"/>
      <c r="N515" s="75">
        <v>0.5743055555555555</v>
      </c>
      <c r="O515" s="76" t="s">
        <v>2055</v>
      </c>
      <c r="P515" s="75">
        <v>0.6208333333333333</v>
      </c>
      <c r="Q515" s="75"/>
      <c r="S515" s="75"/>
      <c r="T515" s="76" t="s">
        <v>1923</v>
      </c>
      <c r="U515" s="74" t="s">
        <v>1434</v>
      </c>
      <c r="V515" s="74" t="s">
        <v>376</v>
      </c>
      <c r="W515" s="74"/>
      <c r="Y515" s="74"/>
      <c r="Z515" s="74"/>
      <c r="AA515" s="74"/>
      <c r="AB515" s="74"/>
      <c r="AC515" s="74"/>
      <c r="AD515" s="74"/>
      <c r="AE515" s="74"/>
      <c r="AF515" s="74"/>
      <c r="AG515" s="74"/>
    </row>
    <row r="516">
      <c r="A516" s="73">
        <v>2023.0</v>
      </c>
      <c r="B516" s="73" t="s">
        <v>400</v>
      </c>
      <c r="C516" s="73">
        <v>21.0</v>
      </c>
      <c r="D516" s="74" t="s">
        <v>19</v>
      </c>
      <c r="E516" s="74" t="s">
        <v>50</v>
      </c>
      <c r="F516" s="74" t="s">
        <v>1426</v>
      </c>
      <c r="G516" s="74" t="s">
        <v>154</v>
      </c>
      <c r="H516" s="74" t="s">
        <v>2005</v>
      </c>
      <c r="I516" s="74" t="s">
        <v>2006</v>
      </c>
      <c r="J516" s="74" t="s">
        <v>2056</v>
      </c>
      <c r="K516" s="73">
        <v>7.0</v>
      </c>
      <c r="L516" s="73">
        <v>1.0</v>
      </c>
      <c r="M516" s="73"/>
      <c r="N516" s="75">
        <v>0.3909722222222222</v>
      </c>
      <c r="O516" s="76" t="s">
        <v>2057</v>
      </c>
      <c r="P516" s="75">
        <v>0.42569444444444443</v>
      </c>
      <c r="Q516" s="75"/>
      <c r="S516" s="75"/>
      <c r="T516" s="76" t="s">
        <v>2023</v>
      </c>
      <c r="U516" s="74" t="s">
        <v>1480</v>
      </c>
      <c r="V516" s="74" t="s">
        <v>376</v>
      </c>
      <c r="W516" s="74"/>
      <c r="Y516" s="74"/>
      <c r="Z516" s="74"/>
      <c r="AA516" s="74"/>
      <c r="AB516" s="74"/>
      <c r="AC516" s="74"/>
      <c r="AD516" s="74"/>
      <c r="AE516" s="74"/>
      <c r="AF516" s="74"/>
      <c r="AG516" s="74"/>
    </row>
    <row r="517">
      <c r="A517" s="73">
        <v>2023.0</v>
      </c>
      <c r="B517" s="73" t="s">
        <v>400</v>
      </c>
      <c r="C517" s="73">
        <v>21.0</v>
      </c>
      <c r="D517" s="74" t="s">
        <v>19</v>
      </c>
      <c r="E517" s="74" t="s">
        <v>50</v>
      </c>
      <c r="F517" s="74" t="s">
        <v>1426</v>
      </c>
      <c r="G517" s="74" t="s">
        <v>154</v>
      </c>
      <c r="H517" s="74" t="s">
        <v>2005</v>
      </c>
      <c r="I517" s="74" t="s">
        <v>2006</v>
      </c>
      <c r="J517" s="74" t="s">
        <v>2056</v>
      </c>
      <c r="K517" s="73">
        <v>7.0</v>
      </c>
      <c r="L517" s="73">
        <v>2.0</v>
      </c>
      <c r="M517" s="73"/>
      <c r="N517" s="75">
        <v>0.42569444444444443</v>
      </c>
      <c r="O517" s="76" t="s">
        <v>2023</v>
      </c>
      <c r="P517" s="75">
        <v>0.4777777777777778</v>
      </c>
      <c r="Q517" s="75"/>
      <c r="S517" s="75"/>
      <c r="T517" s="76" t="s">
        <v>596</v>
      </c>
      <c r="U517" s="74" t="s">
        <v>1480</v>
      </c>
      <c r="V517" s="74" t="s">
        <v>422</v>
      </c>
      <c r="W517" s="74" t="s">
        <v>2058</v>
      </c>
      <c r="Y517" s="74"/>
      <c r="Z517" s="74"/>
      <c r="AA517" s="74"/>
      <c r="AB517" s="74"/>
      <c r="AC517" s="74"/>
      <c r="AD517" s="74"/>
      <c r="AE517" s="74"/>
      <c r="AF517" s="74"/>
      <c r="AG517" s="74"/>
    </row>
    <row r="518">
      <c r="A518" s="73">
        <v>2023.0</v>
      </c>
      <c r="B518" s="73" t="s">
        <v>400</v>
      </c>
      <c r="C518" s="73">
        <v>21.0</v>
      </c>
      <c r="D518" s="74" t="s">
        <v>19</v>
      </c>
      <c r="E518" s="74" t="s">
        <v>50</v>
      </c>
      <c r="F518" s="74" t="s">
        <v>1426</v>
      </c>
      <c r="G518" s="74" t="s">
        <v>154</v>
      </c>
      <c r="H518" s="74" t="s">
        <v>2005</v>
      </c>
      <c r="I518" s="74" t="s">
        <v>2006</v>
      </c>
      <c r="J518" s="74" t="s">
        <v>2056</v>
      </c>
      <c r="K518" s="73">
        <v>7.0</v>
      </c>
      <c r="L518" s="73">
        <v>3.0</v>
      </c>
      <c r="M518" s="73"/>
      <c r="N518" s="75">
        <v>0.4777777777777778</v>
      </c>
      <c r="O518" s="76" t="s">
        <v>596</v>
      </c>
      <c r="P518" s="75">
        <v>0.5298611111111111</v>
      </c>
      <c r="Q518" s="75"/>
      <c r="S518" s="75"/>
      <c r="T518" s="76" t="s">
        <v>1875</v>
      </c>
      <c r="U518" s="74" t="s">
        <v>2034</v>
      </c>
      <c r="V518" s="74" t="s">
        <v>376</v>
      </c>
      <c r="W518" s="74"/>
      <c r="Y518" s="74"/>
      <c r="Z518" s="74"/>
      <c r="AA518" s="74"/>
      <c r="AB518" s="74"/>
      <c r="AC518" s="74"/>
      <c r="AD518" s="74"/>
      <c r="AE518" s="74"/>
      <c r="AF518" s="74"/>
      <c r="AG518" s="74"/>
    </row>
    <row r="519">
      <c r="A519" s="73">
        <v>2023.0</v>
      </c>
      <c r="B519" s="73" t="s">
        <v>400</v>
      </c>
      <c r="C519" s="73">
        <v>21.0</v>
      </c>
      <c r="D519" s="74" t="s">
        <v>19</v>
      </c>
      <c r="E519" s="74" t="s">
        <v>50</v>
      </c>
      <c r="F519" s="74" t="s">
        <v>1426</v>
      </c>
      <c r="G519" s="74" t="s">
        <v>154</v>
      </c>
      <c r="H519" s="74" t="s">
        <v>2005</v>
      </c>
      <c r="I519" s="74" t="s">
        <v>2006</v>
      </c>
      <c r="J519" s="74" t="s">
        <v>2056</v>
      </c>
      <c r="K519" s="73">
        <v>7.0</v>
      </c>
      <c r="L519" s="73">
        <v>4.0</v>
      </c>
      <c r="M519" s="73"/>
      <c r="N519" s="75">
        <v>0.5298611111111111</v>
      </c>
      <c r="O519" s="76" t="s">
        <v>1875</v>
      </c>
      <c r="P519" s="75">
        <v>0.576388888888889</v>
      </c>
      <c r="Q519" s="75"/>
      <c r="S519" s="75"/>
      <c r="T519" s="76" t="s">
        <v>654</v>
      </c>
      <c r="U519" s="74" t="s">
        <v>2034</v>
      </c>
      <c r="V519" s="74" t="s">
        <v>422</v>
      </c>
      <c r="W519" s="74" t="s">
        <v>2009</v>
      </c>
      <c r="Y519" s="74"/>
      <c r="Z519" s="74"/>
      <c r="AA519" s="74"/>
      <c r="AB519" s="74"/>
      <c r="AC519" s="74"/>
      <c r="AD519" s="74"/>
      <c r="AE519" s="74"/>
      <c r="AF519" s="74"/>
      <c r="AG519" s="74"/>
    </row>
    <row r="520">
      <c r="A520" s="73">
        <v>2023.0</v>
      </c>
      <c r="B520" s="73" t="s">
        <v>400</v>
      </c>
      <c r="C520" s="73">
        <v>21.0</v>
      </c>
      <c r="D520" s="74" t="s">
        <v>19</v>
      </c>
      <c r="E520" s="74" t="s">
        <v>50</v>
      </c>
      <c r="F520" s="74" t="s">
        <v>1426</v>
      </c>
      <c r="G520" s="74" t="s">
        <v>154</v>
      </c>
      <c r="H520" s="74" t="s">
        <v>2005</v>
      </c>
      <c r="I520" s="74" t="s">
        <v>2006</v>
      </c>
      <c r="J520" s="74" t="s">
        <v>2056</v>
      </c>
      <c r="K520" s="73">
        <v>7.0</v>
      </c>
      <c r="L520" s="73">
        <v>5.0</v>
      </c>
      <c r="M520" s="73"/>
      <c r="N520" s="75">
        <v>0.576388888888889</v>
      </c>
      <c r="O520" s="76" t="s">
        <v>654</v>
      </c>
      <c r="P520" s="75">
        <v>0.6229166666666667</v>
      </c>
      <c r="Q520" s="75"/>
      <c r="S520" s="75"/>
      <c r="T520" s="76" t="s">
        <v>1682</v>
      </c>
      <c r="U520" s="74" t="s">
        <v>2059</v>
      </c>
      <c r="V520" s="74" t="s">
        <v>376</v>
      </c>
      <c r="W520" s="74"/>
      <c r="Y520" s="74"/>
      <c r="Z520" s="74"/>
      <c r="AA520" s="74"/>
      <c r="AB520" s="74"/>
      <c r="AC520" s="74"/>
      <c r="AD520" s="74"/>
      <c r="AE520" s="74"/>
      <c r="AF520" s="74"/>
      <c r="AG520" s="74"/>
    </row>
    <row r="521">
      <c r="A521" s="73">
        <v>2023.0</v>
      </c>
      <c r="B521" s="73" t="s">
        <v>1446</v>
      </c>
      <c r="C521" s="73">
        <v>20.0</v>
      </c>
      <c r="D521" s="74" t="s">
        <v>19</v>
      </c>
      <c r="E521" s="74" t="s">
        <v>50</v>
      </c>
      <c r="F521" s="73">
        <v>326.0</v>
      </c>
      <c r="G521" s="74" t="s">
        <v>2060</v>
      </c>
      <c r="H521" s="74" t="s">
        <v>2061</v>
      </c>
      <c r="I521" s="74" t="s">
        <v>2062</v>
      </c>
      <c r="J521" s="74" t="s">
        <v>1463</v>
      </c>
      <c r="K521" s="73">
        <v>1.0</v>
      </c>
      <c r="L521" s="73">
        <v>1.0</v>
      </c>
      <c r="M521" s="73"/>
      <c r="N521" s="75">
        <v>0.3763888888888889</v>
      </c>
      <c r="O521" s="76" t="s">
        <v>2063</v>
      </c>
      <c r="P521" s="75">
        <v>0.4354166666666666</v>
      </c>
      <c r="Q521" s="75"/>
      <c r="S521" s="75"/>
      <c r="T521" s="76" t="s">
        <v>2064</v>
      </c>
      <c r="U521" s="74" t="s">
        <v>1454</v>
      </c>
      <c r="V521" s="74" t="s">
        <v>422</v>
      </c>
      <c r="W521" s="74"/>
      <c r="Y521" s="74"/>
      <c r="Z521" s="74"/>
      <c r="AA521" s="74"/>
      <c r="AB521" s="74"/>
      <c r="AC521" s="74"/>
      <c r="AD521" s="74"/>
      <c r="AE521" s="74"/>
      <c r="AF521" s="74"/>
      <c r="AG521" s="74"/>
    </row>
    <row r="522">
      <c r="A522" s="73">
        <v>2023.0</v>
      </c>
      <c r="B522" s="73" t="s">
        <v>1446</v>
      </c>
      <c r="C522" s="73">
        <v>20.0</v>
      </c>
      <c r="D522" s="74" t="s">
        <v>19</v>
      </c>
      <c r="E522" s="74" t="s">
        <v>50</v>
      </c>
      <c r="F522" s="73">
        <v>326.0</v>
      </c>
      <c r="G522" s="74" t="s">
        <v>2060</v>
      </c>
      <c r="H522" s="74" t="s">
        <v>2061</v>
      </c>
      <c r="I522" s="74" t="s">
        <v>2062</v>
      </c>
      <c r="J522" s="74" t="s">
        <v>1463</v>
      </c>
      <c r="K522" s="73">
        <v>1.0</v>
      </c>
      <c r="L522" s="73">
        <v>2.0</v>
      </c>
      <c r="M522" s="73"/>
      <c r="N522" s="75">
        <v>0.4354166666666666</v>
      </c>
      <c r="O522" s="76" t="s">
        <v>2064</v>
      </c>
      <c r="P522" s="75">
        <v>0.4777777777777778</v>
      </c>
      <c r="Q522" s="75"/>
      <c r="S522" s="75"/>
      <c r="T522" s="76" t="s">
        <v>596</v>
      </c>
      <c r="U522" s="74" t="s">
        <v>1429</v>
      </c>
      <c r="V522" s="74" t="s">
        <v>376</v>
      </c>
      <c r="W522" s="74"/>
      <c r="Y522" s="74"/>
      <c r="Z522" s="74"/>
      <c r="AA522" s="74"/>
      <c r="AB522" s="74"/>
      <c r="AC522" s="74"/>
      <c r="AD522" s="74"/>
      <c r="AE522" s="74"/>
      <c r="AF522" s="74"/>
      <c r="AG522" s="74"/>
    </row>
    <row r="523">
      <c r="A523" s="73">
        <v>2023.0</v>
      </c>
      <c r="B523" s="73" t="s">
        <v>1446</v>
      </c>
      <c r="C523" s="73">
        <v>20.0</v>
      </c>
      <c r="D523" s="74" t="s">
        <v>19</v>
      </c>
      <c r="E523" s="74" t="s">
        <v>50</v>
      </c>
      <c r="F523" s="73">
        <v>326.0</v>
      </c>
      <c r="G523" s="74" t="s">
        <v>2060</v>
      </c>
      <c r="H523" s="74" t="s">
        <v>2061</v>
      </c>
      <c r="I523" s="74" t="s">
        <v>2062</v>
      </c>
      <c r="J523" s="74" t="s">
        <v>1463</v>
      </c>
      <c r="K523" s="73">
        <v>1.0</v>
      </c>
      <c r="L523" s="73">
        <v>3.0</v>
      </c>
      <c r="M523" s="73"/>
      <c r="N523" s="75">
        <v>0.4777777777777778</v>
      </c>
      <c r="O523" s="76" t="s">
        <v>596</v>
      </c>
      <c r="P523" s="75">
        <v>0.5340277777777778</v>
      </c>
      <c r="Q523" s="75"/>
      <c r="S523" s="75"/>
      <c r="T523" s="76" t="s">
        <v>2065</v>
      </c>
      <c r="U523" s="74" t="s">
        <v>1429</v>
      </c>
      <c r="V523" s="74" t="s">
        <v>1621</v>
      </c>
      <c r="W523" s="74"/>
      <c r="Y523" s="74"/>
      <c r="Z523" s="74"/>
      <c r="AA523" s="74"/>
      <c r="AB523" s="74"/>
      <c r="AC523" s="74"/>
      <c r="AD523" s="74"/>
      <c r="AE523" s="74"/>
      <c r="AF523" s="74"/>
      <c r="AG523" s="74"/>
    </row>
    <row r="524">
      <c r="A524" s="73">
        <v>2023.0</v>
      </c>
      <c r="B524" s="73" t="s">
        <v>1446</v>
      </c>
      <c r="C524" s="73">
        <v>20.0</v>
      </c>
      <c r="D524" s="74" t="s">
        <v>19</v>
      </c>
      <c r="E524" s="74" t="s">
        <v>50</v>
      </c>
      <c r="F524" s="73">
        <v>326.0</v>
      </c>
      <c r="G524" s="74" t="s">
        <v>2060</v>
      </c>
      <c r="H524" s="74" t="s">
        <v>2061</v>
      </c>
      <c r="I524" s="74" t="s">
        <v>2062</v>
      </c>
      <c r="J524" s="74" t="s">
        <v>1463</v>
      </c>
      <c r="K524" s="73">
        <v>1.0</v>
      </c>
      <c r="L524" s="73">
        <v>4.0</v>
      </c>
      <c r="M524" s="73"/>
      <c r="N524" s="75">
        <v>0.5340277777777778</v>
      </c>
      <c r="O524" s="76" t="s">
        <v>2065</v>
      </c>
      <c r="P524" s="75">
        <v>0.6173611111111111</v>
      </c>
      <c r="Q524" s="75"/>
      <c r="S524" s="75"/>
      <c r="T524" s="76" t="s">
        <v>2066</v>
      </c>
      <c r="U524" s="74" t="s">
        <v>1429</v>
      </c>
      <c r="V524" s="74" t="s">
        <v>1622</v>
      </c>
      <c r="W524" s="74"/>
      <c r="Y524" s="74"/>
      <c r="Z524" s="74"/>
      <c r="AA524" s="74"/>
      <c r="AB524" s="74"/>
      <c r="AC524" s="74"/>
      <c r="AD524" s="74"/>
      <c r="AE524" s="74"/>
      <c r="AF524" s="74"/>
      <c r="AG524" s="74"/>
    </row>
    <row r="525">
      <c r="A525" s="73">
        <v>2023.0</v>
      </c>
      <c r="B525" s="73" t="s">
        <v>1446</v>
      </c>
      <c r="C525" s="73">
        <v>20.0</v>
      </c>
      <c r="D525" s="74" t="s">
        <v>19</v>
      </c>
      <c r="E525" s="74" t="s">
        <v>50</v>
      </c>
      <c r="F525" s="73">
        <v>325.0</v>
      </c>
      <c r="G525" s="74" t="s">
        <v>2060</v>
      </c>
      <c r="H525" s="74" t="s">
        <v>2067</v>
      </c>
      <c r="I525" s="74" t="s">
        <v>2068</v>
      </c>
      <c r="J525" s="73">
        <v>20.0</v>
      </c>
      <c r="K525" s="73">
        <v>2.0</v>
      </c>
      <c r="L525" s="73">
        <v>1.0</v>
      </c>
      <c r="M525" s="73"/>
      <c r="N525" s="75">
        <v>0.37916666666666665</v>
      </c>
      <c r="O525" s="76" t="s">
        <v>505</v>
      </c>
      <c r="P525" s="75">
        <v>0.4368055555555555</v>
      </c>
      <c r="Q525" s="75"/>
      <c r="S525" s="75"/>
      <c r="T525" s="76" t="s">
        <v>2069</v>
      </c>
      <c r="U525" s="74" t="s">
        <v>1434</v>
      </c>
      <c r="V525" s="74" t="s">
        <v>1594</v>
      </c>
      <c r="W525" s="74"/>
      <c r="Y525" s="74"/>
      <c r="Z525" s="74"/>
      <c r="AA525" s="74"/>
      <c r="AB525" s="74"/>
      <c r="AC525" s="74"/>
      <c r="AD525" s="74"/>
      <c r="AE525" s="74"/>
      <c r="AF525" s="74"/>
      <c r="AG525" s="74"/>
    </row>
    <row r="526">
      <c r="A526" s="73">
        <v>2023.0</v>
      </c>
      <c r="B526" s="73" t="s">
        <v>1446</v>
      </c>
      <c r="C526" s="73">
        <v>20.0</v>
      </c>
      <c r="D526" s="74" t="s">
        <v>19</v>
      </c>
      <c r="E526" s="74" t="s">
        <v>50</v>
      </c>
      <c r="F526" s="73">
        <v>325.0</v>
      </c>
      <c r="G526" s="74" t="s">
        <v>2060</v>
      </c>
      <c r="H526" s="74" t="s">
        <v>2067</v>
      </c>
      <c r="I526" s="74" t="s">
        <v>2068</v>
      </c>
      <c r="J526" s="73">
        <v>20.0</v>
      </c>
      <c r="K526" s="73">
        <v>2.0</v>
      </c>
      <c r="L526" s="73">
        <v>2.0</v>
      </c>
      <c r="M526" s="73"/>
      <c r="N526" s="75">
        <v>0.4368055555555555</v>
      </c>
      <c r="O526" s="76" t="s">
        <v>2069</v>
      </c>
      <c r="P526" s="75">
        <v>0.4791666666666667</v>
      </c>
      <c r="Q526" s="75"/>
      <c r="S526" s="75"/>
      <c r="T526" s="76" t="s">
        <v>327</v>
      </c>
      <c r="U526" s="74" t="s">
        <v>1419</v>
      </c>
      <c r="V526" s="74" t="s">
        <v>376</v>
      </c>
      <c r="W526" s="74"/>
      <c r="Y526" s="74"/>
      <c r="Z526" s="74"/>
      <c r="AA526" s="74"/>
      <c r="AB526" s="74"/>
      <c r="AC526" s="74"/>
      <c r="AD526" s="74"/>
      <c r="AE526" s="74"/>
      <c r="AF526" s="74"/>
      <c r="AG526" s="74"/>
    </row>
    <row r="527">
      <c r="A527" s="73">
        <v>2023.0</v>
      </c>
      <c r="B527" s="73" t="s">
        <v>1446</v>
      </c>
      <c r="C527" s="73">
        <v>20.0</v>
      </c>
      <c r="D527" s="74" t="s">
        <v>19</v>
      </c>
      <c r="E527" s="74" t="s">
        <v>50</v>
      </c>
      <c r="F527" s="73">
        <v>325.0</v>
      </c>
      <c r="G527" s="74" t="s">
        <v>2060</v>
      </c>
      <c r="H527" s="74" t="s">
        <v>2067</v>
      </c>
      <c r="I527" s="74" t="s">
        <v>2068</v>
      </c>
      <c r="J527" s="73">
        <v>20.0</v>
      </c>
      <c r="K527" s="73">
        <v>2.0</v>
      </c>
      <c r="L527" s="73">
        <v>3.0</v>
      </c>
      <c r="M527" s="73"/>
      <c r="N527" s="75">
        <v>0.4791666666666667</v>
      </c>
      <c r="O527" s="76" t="s">
        <v>327</v>
      </c>
      <c r="P527" s="75">
        <v>0.5770833333333333</v>
      </c>
      <c r="Q527" s="75"/>
      <c r="S527" s="75"/>
      <c r="T527" s="76" t="s">
        <v>2070</v>
      </c>
      <c r="U527" s="74" t="s">
        <v>1419</v>
      </c>
      <c r="V527" s="74" t="s">
        <v>411</v>
      </c>
      <c r="W527" s="74"/>
      <c r="Y527" s="74"/>
      <c r="Z527" s="74"/>
      <c r="AA527" s="74"/>
      <c r="AB527" s="74"/>
      <c r="AC527" s="74"/>
      <c r="AD527" s="74"/>
      <c r="AE527" s="74"/>
      <c r="AF527" s="74"/>
      <c r="AG527" s="74"/>
    </row>
    <row r="528">
      <c r="A528" s="73">
        <v>2023.0</v>
      </c>
      <c r="B528" s="73" t="s">
        <v>1446</v>
      </c>
      <c r="C528" s="73">
        <v>20.0</v>
      </c>
      <c r="D528" s="74" t="s">
        <v>19</v>
      </c>
      <c r="E528" s="74" t="s">
        <v>50</v>
      </c>
      <c r="F528" s="73">
        <v>325.0</v>
      </c>
      <c r="G528" s="74" t="s">
        <v>2060</v>
      </c>
      <c r="H528" s="74" t="s">
        <v>2067</v>
      </c>
      <c r="I528" s="74" t="s">
        <v>2068</v>
      </c>
      <c r="J528" s="73">
        <v>20.0</v>
      </c>
      <c r="K528" s="73">
        <v>2.0</v>
      </c>
      <c r="L528" s="73">
        <v>4.0</v>
      </c>
      <c r="M528" s="73"/>
      <c r="N528" s="75">
        <v>0.5770833333333333</v>
      </c>
      <c r="O528" s="76" t="s">
        <v>2070</v>
      </c>
      <c r="P528" s="75">
        <v>0.6409722222222222</v>
      </c>
      <c r="Q528" s="75"/>
      <c r="S528" s="75"/>
      <c r="T528" s="76" t="s">
        <v>1314</v>
      </c>
      <c r="U528" s="74" t="s">
        <v>1419</v>
      </c>
      <c r="V528" s="74" t="s">
        <v>411</v>
      </c>
      <c r="W528" s="74"/>
      <c r="Y528" s="74"/>
      <c r="Z528" s="74"/>
      <c r="AA528" s="74"/>
      <c r="AB528" s="74"/>
      <c r="AC528" s="74"/>
      <c r="AD528" s="74"/>
      <c r="AE528" s="74"/>
      <c r="AF528" s="74"/>
      <c r="AG528" s="74"/>
    </row>
    <row r="529">
      <c r="A529" s="73">
        <v>2023.0</v>
      </c>
      <c r="B529" s="73" t="s">
        <v>1446</v>
      </c>
      <c r="C529" s="73">
        <v>20.0</v>
      </c>
      <c r="D529" s="74" t="s">
        <v>19</v>
      </c>
      <c r="E529" s="74" t="s">
        <v>50</v>
      </c>
      <c r="F529" s="73">
        <v>324.0</v>
      </c>
      <c r="G529" s="74" t="s">
        <v>2060</v>
      </c>
      <c r="H529" s="74" t="s">
        <v>2071</v>
      </c>
      <c r="I529" s="74" t="s">
        <v>2072</v>
      </c>
      <c r="J529" s="74" t="s">
        <v>1477</v>
      </c>
      <c r="K529" s="73">
        <v>3.0</v>
      </c>
      <c r="L529" s="73">
        <v>1.0</v>
      </c>
      <c r="M529" s="73"/>
      <c r="N529" s="75">
        <v>0.38125000000000003</v>
      </c>
      <c r="O529" s="76" t="s">
        <v>686</v>
      </c>
      <c r="P529" s="75">
        <v>0.44027777777777777</v>
      </c>
      <c r="Q529" s="75"/>
      <c r="S529" s="75"/>
      <c r="T529" s="76" t="s">
        <v>2073</v>
      </c>
      <c r="U529" s="74" t="s">
        <v>1480</v>
      </c>
      <c r="V529" s="74" t="s">
        <v>376</v>
      </c>
      <c r="W529" s="74"/>
      <c r="Y529" s="74"/>
      <c r="Z529" s="74"/>
      <c r="AA529" s="74"/>
      <c r="AB529" s="74"/>
      <c r="AC529" s="74"/>
      <c r="AD529" s="74"/>
      <c r="AE529" s="74"/>
      <c r="AF529" s="74"/>
      <c r="AG529" s="74"/>
    </row>
    <row r="530">
      <c r="A530" s="73">
        <v>2023.0</v>
      </c>
      <c r="B530" s="73" t="s">
        <v>1446</v>
      </c>
      <c r="C530" s="73">
        <v>20.0</v>
      </c>
      <c r="D530" s="74" t="s">
        <v>19</v>
      </c>
      <c r="E530" s="74" t="s">
        <v>50</v>
      </c>
      <c r="F530" s="73">
        <v>324.0</v>
      </c>
      <c r="G530" s="74" t="s">
        <v>2060</v>
      </c>
      <c r="H530" s="74" t="s">
        <v>2071</v>
      </c>
      <c r="I530" s="74" t="s">
        <v>2072</v>
      </c>
      <c r="J530" s="74" t="s">
        <v>1477</v>
      </c>
      <c r="K530" s="73">
        <v>3.0</v>
      </c>
      <c r="L530" s="73">
        <v>2.0</v>
      </c>
      <c r="M530" s="73"/>
      <c r="N530" s="75">
        <v>0.44027777777777777</v>
      </c>
      <c r="O530" s="76" t="s">
        <v>2073</v>
      </c>
      <c r="P530" s="75">
        <v>0.48194444444444445</v>
      </c>
      <c r="Q530" s="75"/>
      <c r="S530" s="75"/>
      <c r="T530" s="76" t="s">
        <v>1955</v>
      </c>
      <c r="U530" s="74" t="s">
        <v>1480</v>
      </c>
      <c r="V530" s="74" t="s">
        <v>376</v>
      </c>
      <c r="W530" s="74"/>
      <c r="Y530" s="74"/>
      <c r="Z530" s="74"/>
      <c r="AA530" s="74"/>
      <c r="AB530" s="74"/>
      <c r="AC530" s="74"/>
      <c r="AD530" s="74"/>
      <c r="AE530" s="74"/>
      <c r="AF530" s="74"/>
      <c r="AG530" s="74"/>
    </row>
    <row r="531">
      <c r="A531" s="73">
        <v>2023.0</v>
      </c>
      <c r="B531" s="73" t="s">
        <v>1446</v>
      </c>
      <c r="C531" s="73">
        <v>20.0</v>
      </c>
      <c r="D531" s="74" t="s">
        <v>19</v>
      </c>
      <c r="E531" s="74" t="s">
        <v>50</v>
      </c>
      <c r="F531" s="73">
        <v>324.0</v>
      </c>
      <c r="G531" s="74" t="s">
        <v>2060</v>
      </c>
      <c r="H531" s="74" t="s">
        <v>2071</v>
      </c>
      <c r="I531" s="74" t="s">
        <v>2072</v>
      </c>
      <c r="J531" s="74" t="s">
        <v>1477</v>
      </c>
      <c r="K531" s="73">
        <v>3.0</v>
      </c>
      <c r="L531" s="73">
        <v>3.0</v>
      </c>
      <c r="M531" s="73"/>
      <c r="N531" s="75">
        <v>0.48194444444444445</v>
      </c>
      <c r="O531" s="76" t="s">
        <v>1955</v>
      </c>
      <c r="P531" s="75">
        <v>0.5777777777777778</v>
      </c>
      <c r="Q531" s="75"/>
      <c r="S531" s="75"/>
      <c r="T531" s="76" t="s">
        <v>1957</v>
      </c>
      <c r="U531" s="74" t="s">
        <v>1480</v>
      </c>
      <c r="V531" s="74" t="s">
        <v>1633</v>
      </c>
      <c r="W531" s="74"/>
      <c r="Y531" s="74"/>
      <c r="Z531" s="74"/>
      <c r="AA531" s="74"/>
      <c r="AB531" s="74"/>
      <c r="AC531" s="74"/>
      <c r="AD531" s="74"/>
      <c r="AE531" s="74"/>
      <c r="AF531" s="74"/>
      <c r="AG531" s="74"/>
    </row>
    <row r="532">
      <c r="A532" s="73">
        <v>2023.0</v>
      </c>
      <c r="B532" s="73" t="s">
        <v>1446</v>
      </c>
      <c r="C532" s="73">
        <v>20.0</v>
      </c>
      <c r="D532" s="74" t="s">
        <v>19</v>
      </c>
      <c r="E532" s="74" t="s">
        <v>50</v>
      </c>
      <c r="F532" s="73">
        <v>324.0</v>
      </c>
      <c r="G532" s="74" t="s">
        <v>2060</v>
      </c>
      <c r="H532" s="74" t="s">
        <v>2071</v>
      </c>
      <c r="I532" s="74" t="s">
        <v>2072</v>
      </c>
      <c r="J532" s="74" t="s">
        <v>1477</v>
      </c>
      <c r="K532" s="73">
        <v>3.0</v>
      </c>
      <c r="L532" s="73">
        <v>4.0</v>
      </c>
      <c r="M532" s="73"/>
      <c r="N532" s="75">
        <v>0.5777777777777778</v>
      </c>
      <c r="O532" s="76" t="s">
        <v>1957</v>
      </c>
      <c r="P532" s="75">
        <v>0.6451388888888888</v>
      </c>
      <c r="Q532" s="75"/>
      <c r="S532" s="75"/>
      <c r="T532" s="76" t="s">
        <v>2074</v>
      </c>
      <c r="U532" s="74" t="s">
        <v>2075</v>
      </c>
      <c r="V532" s="74" t="s">
        <v>376</v>
      </c>
      <c r="W532" s="74"/>
      <c r="Y532" s="74"/>
      <c r="Z532" s="74"/>
      <c r="AA532" s="74"/>
      <c r="AB532" s="74"/>
      <c r="AC532" s="74"/>
      <c r="AD532" s="74"/>
      <c r="AE532" s="74"/>
      <c r="AF532" s="74"/>
      <c r="AG532" s="74"/>
    </row>
    <row r="533">
      <c r="A533" s="73">
        <v>2023.0</v>
      </c>
      <c r="B533" s="73" t="s">
        <v>1446</v>
      </c>
      <c r="C533" s="73">
        <v>20.0</v>
      </c>
      <c r="D533" s="74" t="s">
        <v>19</v>
      </c>
      <c r="E533" s="74" t="s">
        <v>50</v>
      </c>
      <c r="F533" s="73">
        <v>323.0</v>
      </c>
      <c r="G533" s="74" t="s">
        <v>154</v>
      </c>
      <c r="H533" s="74" t="s">
        <v>2076</v>
      </c>
      <c r="I533" s="74" t="s">
        <v>2077</v>
      </c>
      <c r="J533" s="74" t="s">
        <v>2078</v>
      </c>
      <c r="K533" s="73">
        <v>4.0</v>
      </c>
      <c r="L533" s="73">
        <v>1.0</v>
      </c>
      <c r="M533" s="73"/>
      <c r="N533" s="75">
        <v>0.3833333333333333</v>
      </c>
      <c r="O533" s="76" t="s">
        <v>516</v>
      </c>
      <c r="P533" s="75">
        <v>0.44166666666666665</v>
      </c>
      <c r="Q533" s="75"/>
      <c r="S533" s="75"/>
      <c r="T533" s="76" t="s">
        <v>581</v>
      </c>
      <c r="U533" s="74" t="s">
        <v>2079</v>
      </c>
      <c r="V533" s="74" t="s">
        <v>376</v>
      </c>
      <c r="W533" s="74"/>
      <c r="Y533" s="74"/>
      <c r="Z533" s="74"/>
      <c r="AA533" s="74"/>
      <c r="AB533" s="74"/>
      <c r="AC533" s="74"/>
      <c r="AD533" s="74"/>
      <c r="AE533" s="74"/>
      <c r="AF533" s="74"/>
      <c r="AG533" s="74"/>
    </row>
    <row r="534">
      <c r="A534" s="73">
        <v>2023.0</v>
      </c>
      <c r="B534" s="73" t="s">
        <v>1446</v>
      </c>
      <c r="C534" s="73">
        <v>20.0</v>
      </c>
      <c r="D534" s="74" t="s">
        <v>19</v>
      </c>
      <c r="E534" s="74" t="s">
        <v>50</v>
      </c>
      <c r="F534" s="73">
        <v>323.0</v>
      </c>
      <c r="G534" s="74" t="s">
        <v>154</v>
      </c>
      <c r="H534" s="74" t="s">
        <v>2076</v>
      </c>
      <c r="I534" s="74" t="s">
        <v>2077</v>
      </c>
      <c r="J534" s="74" t="s">
        <v>2078</v>
      </c>
      <c r="K534" s="73">
        <v>4.0</v>
      </c>
      <c r="L534" s="73">
        <v>2.0</v>
      </c>
      <c r="M534" s="73"/>
      <c r="N534" s="75">
        <v>0.44166666666666665</v>
      </c>
      <c r="O534" s="76" t="s">
        <v>581</v>
      </c>
      <c r="P534" s="75">
        <v>0.4826388888888889</v>
      </c>
      <c r="Q534" s="75"/>
      <c r="S534" s="75"/>
      <c r="T534" s="76" t="s">
        <v>203</v>
      </c>
      <c r="U534" s="74" t="s">
        <v>2079</v>
      </c>
      <c r="V534" s="74" t="s">
        <v>376</v>
      </c>
      <c r="W534" s="74"/>
      <c r="Y534" s="74"/>
      <c r="Z534" s="74"/>
      <c r="AA534" s="74"/>
      <c r="AB534" s="74"/>
      <c r="AC534" s="74"/>
      <c r="AD534" s="74"/>
      <c r="AE534" s="74"/>
      <c r="AF534" s="74"/>
      <c r="AG534" s="74"/>
    </row>
    <row r="535">
      <c r="A535" s="73">
        <v>2023.0</v>
      </c>
      <c r="B535" s="73" t="s">
        <v>1446</v>
      </c>
      <c r="C535" s="73">
        <v>20.0</v>
      </c>
      <c r="D535" s="74" t="s">
        <v>19</v>
      </c>
      <c r="E535" s="74" t="s">
        <v>50</v>
      </c>
      <c r="F535" s="73">
        <v>323.0</v>
      </c>
      <c r="G535" s="74" t="s">
        <v>154</v>
      </c>
      <c r="H535" s="74" t="s">
        <v>2076</v>
      </c>
      <c r="I535" s="74" t="s">
        <v>2077</v>
      </c>
      <c r="J535" s="74" t="s">
        <v>2078</v>
      </c>
      <c r="K535" s="73">
        <v>4.0</v>
      </c>
      <c r="L535" s="73">
        <v>3.0</v>
      </c>
      <c r="M535" s="73"/>
      <c r="N535" s="75">
        <v>0.4826388888888889</v>
      </c>
      <c r="O535" s="76" t="s">
        <v>203</v>
      </c>
      <c r="P535" s="75">
        <v>0.5861111111111111</v>
      </c>
      <c r="Q535" s="75"/>
      <c r="S535" s="75"/>
      <c r="T535" s="76" t="s">
        <v>2080</v>
      </c>
      <c r="U535" s="74" t="s">
        <v>2079</v>
      </c>
      <c r="V535" s="74" t="s">
        <v>376</v>
      </c>
      <c r="W535" s="74"/>
      <c r="Y535" s="74"/>
      <c r="Z535" s="74"/>
      <c r="AA535" s="74"/>
      <c r="AB535" s="74"/>
      <c r="AC535" s="74"/>
      <c r="AD535" s="74"/>
      <c r="AE535" s="74"/>
      <c r="AF535" s="74"/>
      <c r="AG535" s="74"/>
    </row>
    <row r="536">
      <c r="A536" s="73">
        <v>2023.0</v>
      </c>
      <c r="B536" s="73" t="s">
        <v>1446</v>
      </c>
      <c r="C536" s="73">
        <v>20.0</v>
      </c>
      <c r="D536" s="74" t="s">
        <v>19</v>
      </c>
      <c r="E536" s="74" t="s">
        <v>50</v>
      </c>
      <c r="F536" s="73">
        <v>323.0</v>
      </c>
      <c r="G536" s="74" t="s">
        <v>154</v>
      </c>
      <c r="H536" s="74" t="s">
        <v>2076</v>
      </c>
      <c r="I536" s="74" t="s">
        <v>2077</v>
      </c>
      <c r="J536" s="74" t="s">
        <v>2078</v>
      </c>
      <c r="K536" s="73">
        <v>4.0</v>
      </c>
      <c r="L536" s="73">
        <v>4.0</v>
      </c>
      <c r="M536" s="73"/>
      <c r="N536" s="75">
        <v>0.5861111111111111</v>
      </c>
      <c r="O536" s="76" t="s">
        <v>2080</v>
      </c>
      <c r="P536" s="75">
        <v>0.638888888888889</v>
      </c>
      <c r="Q536" s="75"/>
      <c r="S536" s="75"/>
      <c r="T536" s="76" t="s">
        <v>1858</v>
      </c>
      <c r="U536" s="74" t="s">
        <v>2079</v>
      </c>
      <c r="V536" s="74" t="s">
        <v>376</v>
      </c>
      <c r="W536" s="74"/>
      <c r="Y536" s="74"/>
      <c r="Z536" s="74"/>
      <c r="AA536" s="74"/>
      <c r="AB536" s="74"/>
      <c r="AC536" s="74"/>
      <c r="AD536" s="74"/>
      <c r="AE536" s="74"/>
      <c r="AF536" s="74"/>
      <c r="AG536" s="74"/>
    </row>
    <row r="537">
      <c r="A537" s="73">
        <v>2023.0</v>
      </c>
      <c r="B537" s="73" t="s">
        <v>1446</v>
      </c>
      <c r="C537" s="73">
        <v>20.0</v>
      </c>
      <c r="D537" s="74" t="s">
        <v>19</v>
      </c>
      <c r="E537" s="74" t="s">
        <v>50</v>
      </c>
      <c r="F537" s="73">
        <v>322.0</v>
      </c>
      <c r="G537" s="74" t="s">
        <v>154</v>
      </c>
      <c r="H537" s="74" t="s">
        <v>2081</v>
      </c>
      <c r="I537" s="74" t="s">
        <v>2082</v>
      </c>
      <c r="J537" s="74" t="s">
        <v>1486</v>
      </c>
      <c r="K537" s="73">
        <v>5.0</v>
      </c>
      <c r="L537" s="73">
        <v>1.0</v>
      </c>
      <c r="M537" s="73"/>
      <c r="N537" s="75">
        <v>0.3861111111111111</v>
      </c>
      <c r="O537" s="76" t="s">
        <v>2053</v>
      </c>
      <c r="P537" s="75">
        <v>0.44236111111111115</v>
      </c>
      <c r="Q537" s="75"/>
      <c r="S537" s="75"/>
      <c r="T537" s="76" t="s">
        <v>1711</v>
      </c>
      <c r="U537" s="74" t="s">
        <v>1434</v>
      </c>
      <c r="V537" s="74" t="s">
        <v>422</v>
      </c>
      <c r="W537" s="74"/>
      <c r="Y537" s="74"/>
      <c r="Z537" s="74"/>
      <c r="AA537" s="74"/>
      <c r="AB537" s="74"/>
      <c r="AC537" s="74"/>
      <c r="AD537" s="74"/>
      <c r="AE537" s="74"/>
      <c r="AF537" s="74"/>
      <c r="AG537" s="74"/>
    </row>
    <row r="538">
      <c r="A538" s="73">
        <v>2023.0</v>
      </c>
      <c r="B538" s="73" t="s">
        <v>1446</v>
      </c>
      <c r="C538" s="73">
        <v>20.0</v>
      </c>
      <c r="D538" s="74" t="s">
        <v>19</v>
      </c>
      <c r="E538" s="74" t="s">
        <v>50</v>
      </c>
      <c r="F538" s="73">
        <v>322.0</v>
      </c>
      <c r="G538" s="74" t="s">
        <v>154</v>
      </c>
      <c r="H538" s="74" t="s">
        <v>2081</v>
      </c>
      <c r="I538" s="74" t="s">
        <v>2082</v>
      </c>
      <c r="J538" s="74" t="s">
        <v>1486</v>
      </c>
      <c r="K538" s="73">
        <v>5.0</v>
      </c>
      <c r="L538" s="73">
        <v>2.0</v>
      </c>
      <c r="M538" s="73"/>
      <c r="N538" s="75">
        <v>0.44236111111111115</v>
      </c>
      <c r="O538" s="76" t="s">
        <v>1711</v>
      </c>
      <c r="P538" s="75">
        <v>0.48333333333333334</v>
      </c>
      <c r="Q538" s="75"/>
      <c r="S538" s="75"/>
      <c r="T538" s="76" t="s">
        <v>1253</v>
      </c>
      <c r="U538" s="74" t="s">
        <v>1848</v>
      </c>
      <c r="V538" s="74" t="s">
        <v>422</v>
      </c>
      <c r="W538" s="74"/>
      <c r="Y538" s="74"/>
      <c r="Z538" s="74"/>
      <c r="AA538" s="74"/>
      <c r="AB538" s="74"/>
      <c r="AC538" s="74"/>
      <c r="AD538" s="74"/>
      <c r="AE538" s="74"/>
      <c r="AF538" s="74"/>
      <c r="AG538" s="74"/>
    </row>
    <row r="539">
      <c r="A539" s="73">
        <v>2023.0</v>
      </c>
      <c r="B539" s="73" t="s">
        <v>1446</v>
      </c>
      <c r="C539" s="73">
        <v>20.0</v>
      </c>
      <c r="D539" s="74" t="s">
        <v>19</v>
      </c>
      <c r="E539" s="74" t="s">
        <v>50</v>
      </c>
      <c r="F539" s="73">
        <v>322.0</v>
      </c>
      <c r="G539" s="74" t="s">
        <v>154</v>
      </c>
      <c r="H539" s="74" t="s">
        <v>2081</v>
      </c>
      <c r="I539" s="74" t="s">
        <v>2082</v>
      </c>
      <c r="J539" s="74" t="s">
        <v>1486</v>
      </c>
      <c r="K539" s="73">
        <v>5.0</v>
      </c>
      <c r="L539" s="73">
        <v>3.0</v>
      </c>
      <c r="M539" s="73"/>
      <c r="N539" s="75">
        <v>0.48333333333333334</v>
      </c>
      <c r="O539" s="76" t="s">
        <v>1253</v>
      </c>
      <c r="P539" s="75">
        <v>0.5875</v>
      </c>
      <c r="Q539" s="75"/>
      <c r="S539" s="75"/>
      <c r="T539" s="76" t="s">
        <v>2083</v>
      </c>
      <c r="U539" s="74" t="s">
        <v>1429</v>
      </c>
      <c r="V539" s="74" t="s">
        <v>1595</v>
      </c>
      <c r="W539" s="74"/>
      <c r="Y539" s="74"/>
      <c r="Z539" s="74"/>
      <c r="AA539" s="74"/>
      <c r="AB539" s="74"/>
      <c r="AC539" s="74"/>
      <c r="AD539" s="74"/>
      <c r="AE539" s="74"/>
      <c r="AF539" s="74"/>
      <c r="AG539" s="74"/>
    </row>
    <row r="540">
      <c r="A540" s="73">
        <v>2023.0</v>
      </c>
      <c r="B540" s="73" t="s">
        <v>1446</v>
      </c>
      <c r="C540" s="73">
        <v>20.0</v>
      </c>
      <c r="D540" s="74" t="s">
        <v>19</v>
      </c>
      <c r="E540" s="74" t="s">
        <v>50</v>
      </c>
      <c r="F540" s="73">
        <v>322.0</v>
      </c>
      <c r="G540" s="74" t="s">
        <v>154</v>
      </c>
      <c r="H540" s="74" t="s">
        <v>2081</v>
      </c>
      <c r="I540" s="74" t="s">
        <v>2082</v>
      </c>
      <c r="J540" s="74" t="s">
        <v>1486</v>
      </c>
      <c r="K540" s="73">
        <v>5.0</v>
      </c>
      <c r="L540" s="73">
        <v>4.0</v>
      </c>
      <c r="M540" s="73"/>
      <c r="N540" s="75">
        <v>0.5875</v>
      </c>
      <c r="O540" s="76" t="s">
        <v>2083</v>
      </c>
      <c r="P540" s="75">
        <v>0.6618055555555555</v>
      </c>
      <c r="Q540" s="75"/>
      <c r="S540" s="75"/>
      <c r="T540" s="76" t="s">
        <v>667</v>
      </c>
      <c r="U540" s="74" t="s">
        <v>1429</v>
      </c>
      <c r="V540" s="74" t="s">
        <v>376</v>
      </c>
      <c r="W540" s="74"/>
      <c r="Y540" s="74"/>
      <c r="Z540" s="74"/>
      <c r="AA540" s="74"/>
      <c r="AB540" s="74"/>
      <c r="AC540" s="74"/>
      <c r="AD540" s="74"/>
      <c r="AE540" s="74"/>
      <c r="AF540" s="74"/>
      <c r="AG540" s="74"/>
    </row>
    <row r="541">
      <c r="A541" s="73">
        <v>2023.0</v>
      </c>
      <c r="B541" s="73" t="s">
        <v>1446</v>
      </c>
      <c r="C541" s="73">
        <v>20.0</v>
      </c>
      <c r="D541" s="74" t="s">
        <v>19</v>
      </c>
      <c r="E541" s="74" t="s">
        <v>50</v>
      </c>
      <c r="F541" s="73">
        <v>320.0</v>
      </c>
      <c r="G541" s="74" t="s">
        <v>154</v>
      </c>
      <c r="H541" s="74" t="s">
        <v>2084</v>
      </c>
      <c r="I541" s="74" t="s">
        <v>2085</v>
      </c>
      <c r="J541" s="74" t="s">
        <v>1453</v>
      </c>
      <c r="K541" s="73">
        <v>6.0</v>
      </c>
      <c r="L541" s="73">
        <v>1.0</v>
      </c>
      <c r="M541" s="73"/>
      <c r="N541" s="75">
        <v>0.3888888888888889</v>
      </c>
      <c r="O541" s="76" t="s">
        <v>2086</v>
      </c>
      <c r="P541" s="75">
        <v>0.44375000000000003</v>
      </c>
      <c r="Q541" s="75"/>
      <c r="S541" s="75"/>
      <c r="T541" s="76" t="s">
        <v>1572</v>
      </c>
      <c r="U541" s="74" t="s">
        <v>2075</v>
      </c>
      <c r="V541" s="74" t="s">
        <v>1604</v>
      </c>
      <c r="W541" s="74"/>
      <c r="Y541" s="74"/>
      <c r="Z541" s="74"/>
      <c r="AA541" s="74"/>
      <c r="AB541" s="74"/>
      <c r="AC541" s="74"/>
      <c r="AD541" s="74"/>
      <c r="AE541" s="74"/>
      <c r="AF541" s="74"/>
      <c r="AG541" s="74"/>
    </row>
    <row r="542">
      <c r="A542" s="73">
        <v>2023.0</v>
      </c>
      <c r="B542" s="73" t="s">
        <v>1446</v>
      </c>
      <c r="C542" s="73">
        <v>20.0</v>
      </c>
      <c r="D542" s="74" t="s">
        <v>19</v>
      </c>
      <c r="E542" s="74" t="s">
        <v>50</v>
      </c>
      <c r="F542" s="73">
        <v>320.0</v>
      </c>
      <c r="G542" s="74" t="s">
        <v>154</v>
      </c>
      <c r="H542" s="74" t="s">
        <v>2084</v>
      </c>
      <c r="I542" s="74" t="s">
        <v>2085</v>
      </c>
      <c r="J542" s="74" t="s">
        <v>1453</v>
      </c>
      <c r="K542" s="73">
        <v>6.0</v>
      </c>
      <c r="L542" s="73">
        <v>2.0</v>
      </c>
      <c r="M542" s="73"/>
      <c r="N542" s="75">
        <v>0.44375000000000003</v>
      </c>
      <c r="O542" s="76" t="s">
        <v>1572</v>
      </c>
      <c r="P542" s="75">
        <v>0.4847222222222222</v>
      </c>
      <c r="Q542" s="75"/>
      <c r="S542" s="75"/>
      <c r="T542" s="76" t="s">
        <v>607</v>
      </c>
      <c r="U542" s="74" t="s">
        <v>1480</v>
      </c>
      <c r="V542" s="74" t="s">
        <v>376</v>
      </c>
      <c r="W542" s="74"/>
      <c r="Y542" s="74"/>
      <c r="Z542" s="74"/>
      <c r="AA542" s="74"/>
      <c r="AB542" s="74"/>
      <c r="AC542" s="74"/>
      <c r="AD542" s="74"/>
      <c r="AE542" s="74"/>
      <c r="AF542" s="74"/>
      <c r="AG542" s="74"/>
    </row>
    <row r="543">
      <c r="A543" s="73">
        <v>2023.0</v>
      </c>
      <c r="B543" s="73" t="s">
        <v>1446</v>
      </c>
      <c r="C543" s="73">
        <v>20.0</v>
      </c>
      <c r="D543" s="74" t="s">
        <v>19</v>
      </c>
      <c r="E543" s="74" t="s">
        <v>50</v>
      </c>
      <c r="F543" s="73">
        <v>320.0</v>
      </c>
      <c r="G543" s="74" t="s">
        <v>154</v>
      </c>
      <c r="H543" s="74" t="s">
        <v>2084</v>
      </c>
      <c r="I543" s="74" t="s">
        <v>2085</v>
      </c>
      <c r="J543" s="74" t="s">
        <v>1453</v>
      </c>
      <c r="K543" s="73">
        <v>6.0</v>
      </c>
      <c r="L543" s="73">
        <v>3.0</v>
      </c>
      <c r="M543" s="73"/>
      <c r="N543" s="75">
        <v>0.4847222222222222</v>
      </c>
      <c r="O543" s="76" t="s">
        <v>607</v>
      </c>
      <c r="P543" s="75">
        <v>0.5909722222222222</v>
      </c>
      <c r="Q543" s="75"/>
      <c r="S543" s="75"/>
      <c r="T543" s="76" t="s">
        <v>2087</v>
      </c>
      <c r="U543" s="74" t="s">
        <v>1480</v>
      </c>
      <c r="V543" s="74" t="s">
        <v>411</v>
      </c>
      <c r="W543" s="74"/>
      <c r="Y543" s="74"/>
      <c r="Z543" s="74"/>
      <c r="AA543" s="74"/>
      <c r="AB543" s="74"/>
      <c r="AC543" s="74"/>
      <c r="AD543" s="74"/>
      <c r="AE543" s="74"/>
      <c r="AF543" s="74"/>
      <c r="AG543" s="74"/>
    </row>
    <row r="544">
      <c r="A544" s="73">
        <v>2023.0</v>
      </c>
      <c r="B544" s="73" t="s">
        <v>1446</v>
      </c>
      <c r="C544" s="73">
        <v>20.0</v>
      </c>
      <c r="D544" s="74" t="s">
        <v>19</v>
      </c>
      <c r="E544" s="74" t="s">
        <v>50</v>
      </c>
      <c r="F544" s="73">
        <v>320.0</v>
      </c>
      <c r="G544" s="74" t="s">
        <v>154</v>
      </c>
      <c r="H544" s="74" t="s">
        <v>2084</v>
      </c>
      <c r="I544" s="74" t="s">
        <v>2085</v>
      </c>
      <c r="J544" s="74" t="s">
        <v>1453</v>
      </c>
      <c r="K544" s="73">
        <v>6.0</v>
      </c>
      <c r="L544" s="73">
        <v>4.0</v>
      </c>
      <c r="M544" s="73"/>
      <c r="N544" s="75">
        <v>0.5909722222222222</v>
      </c>
      <c r="O544" s="76" t="s">
        <v>2087</v>
      </c>
      <c r="P544" s="75">
        <v>0.6673611111111111</v>
      </c>
      <c r="Q544" s="75"/>
      <c r="S544" s="75"/>
      <c r="T544" s="76" t="s">
        <v>1675</v>
      </c>
      <c r="U544" s="74" t="s">
        <v>1454</v>
      </c>
      <c r="V544" s="74" t="s">
        <v>411</v>
      </c>
      <c r="W544" s="74" t="s">
        <v>2088</v>
      </c>
      <c r="Y544" s="74"/>
      <c r="Z544" s="74"/>
      <c r="AA544" s="74"/>
      <c r="AB544" s="74"/>
      <c r="AC544" s="74"/>
      <c r="AD544" s="74"/>
      <c r="AE544" s="74"/>
      <c r="AF544" s="74"/>
      <c r="AG544" s="74"/>
    </row>
    <row r="545">
      <c r="A545" s="73">
        <v>2023.0</v>
      </c>
      <c r="B545" s="73" t="s">
        <v>1446</v>
      </c>
      <c r="C545" s="73">
        <v>20.0</v>
      </c>
      <c r="D545" s="74" t="s">
        <v>19</v>
      </c>
      <c r="E545" s="74" t="s">
        <v>50</v>
      </c>
      <c r="F545" s="73">
        <v>319.0</v>
      </c>
      <c r="G545" s="74" t="s">
        <v>154</v>
      </c>
      <c r="H545" s="74" t="s">
        <v>2089</v>
      </c>
      <c r="I545" s="74" t="s">
        <v>2090</v>
      </c>
      <c r="J545" s="73">
        <v>25.0</v>
      </c>
      <c r="K545" s="73">
        <v>7.0</v>
      </c>
      <c r="L545" s="73">
        <v>1.0</v>
      </c>
      <c r="M545" s="73"/>
      <c r="N545" s="75">
        <v>0.39166666666666666</v>
      </c>
      <c r="O545" s="76" t="s">
        <v>1593</v>
      </c>
      <c r="P545" s="75">
        <v>0.4486111111111111</v>
      </c>
      <c r="Q545" s="75"/>
      <c r="S545" s="75"/>
      <c r="T545" s="76" t="s">
        <v>1915</v>
      </c>
      <c r="U545" s="74" t="s">
        <v>1434</v>
      </c>
      <c r="V545" s="74" t="s">
        <v>422</v>
      </c>
      <c r="W545" s="74" t="s">
        <v>2051</v>
      </c>
      <c r="Y545" s="74"/>
      <c r="Z545" s="74"/>
      <c r="AA545" s="74"/>
      <c r="AB545" s="74"/>
      <c r="AC545" s="74"/>
      <c r="AD545" s="74"/>
      <c r="AE545" s="74"/>
      <c r="AF545" s="74"/>
      <c r="AG545" s="74"/>
    </row>
    <row r="546">
      <c r="A546" s="73">
        <v>2023.0</v>
      </c>
      <c r="B546" s="73" t="s">
        <v>1446</v>
      </c>
      <c r="C546" s="73">
        <v>20.0</v>
      </c>
      <c r="D546" s="74" t="s">
        <v>19</v>
      </c>
      <c r="E546" s="74" t="s">
        <v>50</v>
      </c>
      <c r="F546" s="73">
        <v>319.0</v>
      </c>
      <c r="G546" s="74" t="s">
        <v>154</v>
      </c>
      <c r="H546" s="74" t="s">
        <v>2089</v>
      </c>
      <c r="I546" s="74" t="s">
        <v>2090</v>
      </c>
      <c r="J546" s="73">
        <v>25.0</v>
      </c>
      <c r="K546" s="73">
        <v>7.0</v>
      </c>
      <c r="L546" s="73">
        <v>2.0</v>
      </c>
      <c r="M546" s="73"/>
      <c r="N546" s="75">
        <v>0.4486111111111111</v>
      </c>
      <c r="O546" s="76" t="s">
        <v>1915</v>
      </c>
      <c r="P546" s="75">
        <v>0.4861111111111111</v>
      </c>
      <c r="Q546" s="75"/>
      <c r="S546" s="75"/>
      <c r="T546" s="76" t="s">
        <v>614</v>
      </c>
      <c r="U546" s="74" t="s">
        <v>1434</v>
      </c>
      <c r="V546" s="74" t="s">
        <v>376</v>
      </c>
      <c r="W546" s="74"/>
      <c r="Y546" s="74"/>
      <c r="Z546" s="74"/>
      <c r="AA546" s="74"/>
      <c r="AB546" s="74"/>
      <c r="AC546" s="74"/>
      <c r="AD546" s="74"/>
      <c r="AE546" s="74"/>
      <c r="AF546" s="74"/>
      <c r="AG546" s="74"/>
    </row>
    <row r="547">
      <c r="A547" s="73">
        <v>2023.0</v>
      </c>
      <c r="B547" s="73" t="s">
        <v>1446</v>
      </c>
      <c r="C547" s="73">
        <v>20.0</v>
      </c>
      <c r="D547" s="74" t="s">
        <v>19</v>
      </c>
      <c r="E547" s="74" t="s">
        <v>50</v>
      </c>
      <c r="F547" s="73">
        <v>319.0</v>
      </c>
      <c r="G547" s="74" t="s">
        <v>154</v>
      </c>
      <c r="H547" s="74" t="s">
        <v>2089</v>
      </c>
      <c r="I547" s="74" t="s">
        <v>2090</v>
      </c>
      <c r="J547" s="73">
        <v>25.0</v>
      </c>
      <c r="K547" s="73">
        <v>7.0</v>
      </c>
      <c r="L547" s="73">
        <v>3.0</v>
      </c>
      <c r="M547" s="73"/>
      <c r="N547" s="75">
        <v>0.4861111111111111</v>
      </c>
      <c r="O547" s="76" t="s">
        <v>614</v>
      </c>
      <c r="P547" s="75">
        <v>0.5916666666666667</v>
      </c>
      <c r="Q547" s="75"/>
      <c r="S547" s="75"/>
      <c r="T547" s="76" t="s">
        <v>2091</v>
      </c>
      <c r="U547" s="74" t="s">
        <v>1434</v>
      </c>
      <c r="V547" s="74" t="s">
        <v>422</v>
      </c>
      <c r="W547" s="74"/>
      <c r="Y547" s="74"/>
      <c r="Z547" s="74"/>
      <c r="AA547" s="74"/>
      <c r="AB547" s="74"/>
      <c r="AC547" s="74"/>
      <c r="AD547" s="74"/>
      <c r="AE547" s="74"/>
      <c r="AF547" s="74"/>
      <c r="AG547" s="74"/>
    </row>
    <row r="548">
      <c r="A548" s="73">
        <v>2023.0</v>
      </c>
      <c r="B548" s="73" t="s">
        <v>1446</v>
      </c>
      <c r="C548" s="73">
        <v>20.0</v>
      </c>
      <c r="D548" s="74" t="s">
        <v>19</v>
      </c>
      <c r="E548" s="74" t="s">
        <v>50</v>
      </c>
      <c r="F548" s="73">
        <v>319.0</v>
      </c>
      <c r="G548" s="74" t="s">
        <v>154</v>
      </c>
      <c r="H548" s="74" t="s">
        <v>2089</v>
      </c>
      <c r="I548" s="74" t="s">
        <v>2090</v>
      </c>
      <c r="J548" s="73">
        <v>25.0</v>
      </c>
      <c r="K548" s="73">
        <v>7.0</v>
      </c>
      <c r="L548" s="73">
        <v>4.0</v>
      </c>
      <c r="M548" s="73"/>
      <c r="N548" s="75">
        <v>0.5916666666666667</v>
      </c>
      <c r="O548" s="76" t="s">
        <v>2091</v>
      </c>
      <c r="P548" s="75">
        <v>0.6354166666666666</v>
      </c>
      <c r="Q548" s="75"/>
      <c r="S548" s="75"/>
      <c r="T548" s="76" t="s">
        <v>278</v>
      </c>
      <c r="U548" s="74" t="s">
        <v>1419</v>
      </c>
      <c r="V548" s="74" t="s">
        <v>422</v>
      </c>
      <c r="W548" s="74"/>
      <c r="Y548" s="74"/>
      <c r="Z548" s="74"/>
      <c r="AA548" s="74"/>
      <c r="AB548" s="74"/>
      <c r="AC548" s="74"/>
      <c r="AD548" s="74"/>
      <c r="AE548" s="74"/>
      <c r="AF548" s="74"/>
      <c r="AG548" s="74"/>
    </row>
    <row r="549">
      <c r="A549" s="73">
        <v>2023.0</v>
      </c>
      <c r="B549" s="73" t="s">
        <v>1446</v>
      </c>
      <c r="C549" s="73">
        <v>20.0</v>
      </c>
      <c r="D549" s="74" t="s">
        <v>19</v>
      </c>
      <c r="E549" s="74" t="s">
        <v>50</v>
      </c>
      <c r="F549" s="73">
        <v>260.0</v>
      </c>
      <c r="G549" s="74" t="s">
        <v>154</v>
      </c>
      <c r="H549" s="74" t="s">
        <v>2092</v>
      </c>
      <c r="I549" s="74" t="s">
        <v>2093</v>
      </c>
      <c r="J549" s="74" t="s">
        <v>1493</v>
      </c>
      <c r="K549" s="73">
        <v>8.0</v>
      </c>
      <c r="L549" s="73">
        <v>1.0</v>
      </c>
      <c r="M549" s="73"/>
      <c r="N549" s="75">
        <v>0.39305555555555555</v>
      </c>
      <c r="O549" s="76" t="s">
        <v>2094</v>
      </c>
      <c r="P549" s="75">
        <v>0.45</v>
      </c>
      <c r="Q549" s="75"/>
      <c r="S549" s="75"/>
      <c r="T549" s="76" t="s">
        <v>1728</v>
      </c>
      <c r="U549" s="74" t="s">
        <v>1480</v>
      </c>
      <c r="V549" s="74" t="s">
        <v>422</v>
      </c>
      <c r="W549" s="74"/>
      <c r="Y549" s="74"/>
      <c r="Z549" s="74"/>
      <c r="AA549" s="74"/>
      <c r="AB549" s="74"/>
      <c r="AC549" s="74"/>
      <c r="AD549" s="74"/>
      <c r="AE549" s="74"/>
      <c r="AF549" s="74"/>
      <c r="AG549" s="74"/>
    </row>
    <row r="550">
      <c r="A550" s="73">
        <v>2023.0</v>
      </c>
      <c r="B550" s="73" t="s">
        <v>1446</v>
      </c>
      <c r="C550" s="73">
        <v>20.0</v>
      </c>
      <c r="D550" s="74" t="s">
        <v>19</v>
      </c>
      <c r="E550" s="74" t="s">
        <v>50</v>
      </c>
      <c r="F550" s="73">
        <v>260.0</v>
      </c>
      <c r="G550" s="74" t="s">
        <v>154</v>
      </c>
      <c r="H550" s="74" t="s">
        <v>2092</v>
      </c>
      <c r="I550" s="74" t="s">
        <v>2093</v>
      </c>
      <c r="J550" s="74" t="s">
        <v>1493</v>
      </c>
      <c r="K550" s="73">
        <v>8.0</v>
      </c>
      <c r="L550" s="73">
        <v>2.0</v>
      </c>
      <c r="M550" s="73"/>
      <c r="N550" s="75">
        <v>0.45</v>
      </c>
      <c r="O550" s="76" t="s">
        <v>1728</v>
      </c>
      <c r="P550" s="75">
        <v>0.48680555555555555</v>
      </c>
      <c r="Q550" s="75"/>
      <c r="S550" s="75"/>
      <c r="T550" s="76" t="s">
        <v>2095</v>
      </c>
      <c r="U550" s="74" t="s">
        <v>1434</v>
      </c>
      <c r="V550" s="74" t="s">
        <v>422</v>
      </c>
      <c r="W550" s="74"/>
      <c r="Y550" s="74"/>
      <c r="Z550" s="74"/>
      <c r="AA550" s="74"/>
      <c r="AB550" s="74"/>
      <c r="AC550" s="74"/>
      <c r="AD550" s="74"/>
      <c r="AE550" s="74"/>
      <c r="AF550" s="74"/>
      <c r="AG550" s="74"/>
    </row>
    <row r="551">
      <c r="A551" s="73">
        <v>2023.0</v>
      </c>
      <c r="B551" s="73" t="s">
        <v>1446</v>
      </c>
      <c r="C551" s="73">
        <v>20.0</v>
      </c>
      <c r="D551" s="74" t="s">
        <v>19</v>
      </c>
      <c r="E551" s="74" t="s">
        <v>50</v>
      </c>
      <c r="F551" s="73">
        <v>260.0</v>
      </c>
      <c r="G551" s="74" t="s">
        <v>154</v>
      </c>
      <c r="H551" s="74" t="s">
        <v>2092</v>
      </c>
      <c r="I551" s="74" t="s">
        <v>2093</v>
      </c>
      <c r="J551" s="74" t="s">
        <v>1493</v>
      </c>
      <c r="K551" s="73">
        <v>8.0</v>
      </c>
      <c r="L551" s="73">
        <v>3.0</v>
      </c>
      <c r="M551" s="73"/>
      <c r="N551" s="75">
        <v>0.48680555555555555</v>
      </c>
      <c r="O551" s="76" t="s">
        <v>2095</v>
      </c>
      <c r="P551" s="75">
        <v>0.5930555555555556</v>
      </c>
      <c r="Q551" s="75"/>
      <c r="S551" s="75"/>
      <c r="T551" s="76" t="s">
        <v>1801</v>
      </c>
      <c r="U551" s="74" t="s">
        <v>2075</v>
      </c>
      <c r="V551" s="74" t="s">
        <v>1606</v>
      </c>
      <c r="W551" s="74"/>
      <c r="Y551" s="74"/>
      <c r="Z551" s="74"/>
      <c r="AA551" s="74"/>
      <c r="AB551" s="74"/>
      <c r="AC551" s="74"/>
      <c r="AD551" s="74"/>
      <c r="AE551" s="74"/>
      <c r="AF551" s="74"/>
      <c r="AG551" s="74"/>
    </row>
    <row r="552">
      <c r="A552" s="73">
        <v>2023.0</v>
      </c>
      <c r="B552" s="73" t="s">
        <v>1446</v>
      </c>
      <c r="C552" s="73">
        <v>20.0</v>
      </c>
      <c r="D552" s="74" t="s">
        <v>19</v>
      </c>
      <c r="E552" s="74" t="s">
        <v>50</v>
      </c>
      <c r="F552" s="73">
        <v>260.0</v>
      </c>
      <c r="G552" s="74" t="s">
        <v>154</v>
      </c>
      <c r="H552" s="74" t="s">
        <v>2092</v>
      </c>
      <c r="I552" s="74" t="s">
        <v>2093</v>
      </c>
      <c r="J552" s="74" t="s">
        <v>1493</v>
      </c>
      <c r="K552" s="73">
        <v>8.0</v>
      </c>
      <c r="L552" s="73">
        <v>4.0</v>
      </c>
      <c r="M552" s="73"/>
      <c r="N552" s="75">
        <v>0.5930555555555556</v>
      </c>
      <c r="O552" s="76" t="s">
        <v>1801</v>
      </c>
      <c r="P552" s="75">
        <v>0.6604166666666667</v>
      </c>
      <c r="Q552" s="75"/>
      <c r="S552" s="75"/>
      <c r="T552" s="76" t="s">
        <v>808</v>
      </c>
      <c r="U552" s="74" t="s">
        <v>287</v>
      </c>
      <c r="V552" s="74" t="s">
        <v>376</v>
      </c>
      <c r="W552" s="74"/>
      <c r="Y552" s="74"/>
      <c r="Z552" s="74"/>
      <c r="AA552" s="74"/>
      <c r="AB552" s="74"/>
      <c r="AC552" s="74"/>
      <c r="AD552" s="74"/>
      <c r="AE552" s="74"/>
      <c r="AF552" s="74"/>
      <c r="AG552" s="74"/>
    </row>
    <row r="553">
      <c r="A553" s="73">
        <v>2023.0</v>
      </c>
      <c r="B553" s="73" t="s">
        <v>1446</v>
      </c>
      <c r="C553" s="73">
        <v>20.0</v>
      </c>
      <c r="D553" s="74" t="s">
        <v>19</v>
      </c>
      <c r="E553" s="74" t="s">
        <v>50</v>
      </c>
      <c r="F553" s="73">
        <v>261.0</v>
      </c>
      <c r="G553" s="74" t="s">
        <v>154</v>
      </c>
      <c r="H553" s="74" t="s">
        <v>2096</v>
      </c>
      <c r="I553" s="74" t="s">
        <v>2097</v>
      </c>
      <c r="J553" s="74" t="s">
        <v>1514</v>
      </c>
      <c r="K553" s="73">
        <v>9.0</v>
      </c>
      <c r="L553" s="73">
        <v>1.0</v>
      </c>
      <c r="M553" s="73"/>
      <c r="N553" s="75">
        <v>0.4923611111111111</v>
      </c>
      <c r="O553" s="76" t="s">
        <v>2098</v>
      </c>
      <c r="P553" s="75">
        <v>0.5958333333333333</v>
      </c>
      <c r="Q553" s="75"/>
      <c r="S553" s="75"/>
      <c r="T553" s="76" t="s">
        <v>1892</v>
      </c>
      <c r="U553" s="74" t="s">
        <v>1434</v>
      </c>
      <c r="V553" s="74" t="s">
        <v>376</v>
      </c>
      <c r="W553" s="74"/>
      <c r="Y553" s="74"/>
      <c r="Z553" s="74"/>
      <c r="AA553" s="74"/>
      <c r="AB553" s="74"/>
      <c r="AC553" s="74"/>
      <c r="AD553" s="74"/>
      <c r="AE553" s="74"/>
      <c r="AF553" s="74"/>
      <c r="AG553" s="74"/>
    </row>
    <row r="554">
      <c r="A554" s="73">
        <v>2023.0</v>
      </c>
      <c r="B554" s="73" t="s">
        <v>1446</v>
      </c>
      <c r="C554" s="73">
        <v>20.0</v>
      </c>
      <c r="D554" s="74" t="s">
        <v>19</v>
      </c>
      <c r="E554" s="74" t="s">
        <v>50</v>
      </c>
      <c r="F554" s="73">
        <v>261.0</v>
      </c>
      <c r="G554" s="74" t="s">
        <v>154</v>
      </c>
      <c r="H554" s="74" t="s">
        <v>2096</v>
      </c>
      <c r="I554" s="74" t="s">
        <v>2097</v>
      </c>
      <c r="J554" s="74" t="s">
        <v>1514</v>
      </c>
      <c r="K554" s="73">
        <v>9.0</v>
      </c>
      <c r="L554" s="73">
        <v>2.0</v>
      </c>
      <c r="M554" s="73"/>
      <c r="N554" s="75">
        <v>0.5958333333333333</v>
      </c>
      <c r="O554" s="76" t="s">
        <v>1892</v>
      </c>
      <c r="P554" s="75">
        <v>0.6506944444444445</v>
      </c>
      <c r="Q554" s="75"/>
      <c r="S554" s="75"/>
      <c r="T554" s="76" t="s">
        <v>2099</v>
      </c>
      <c r="U554" s="74" t="s">
        <v>1434</v>
      </c>
      <c r="V554" s="74" t="s">
        <v>1635</v>
      </c>
      <c r="W554" s="74"/>
      <c r="Y554" s="74"/>
      <c r="Z554" s="74"/>
      <c r="AA554" s="74"/>
      <c r="AB554" s="74"/>
      <c r="AC554" s="74"/>
      <c r="AD554" s="74"/>
      <c r="AE554" s="74"/>
      <c r="AF554" s="74"/>
      <c r="AG554" s="74"/>
    </row>
    <row r="555">
      <c r="A555" s="73">
        <v>2023.0</v>
      </c>
      <c r="B555" s="73" t="s">
        <v>1446</v>
      </c>
      <c r="C555" s="73">
        <v>21.0</v>
      </c>
      <c r="D555" s="74" t="s">
        <v>19</v>
      </c>
      <c r="E555" s="74" t="s">
        <v>50</v>
      </c>
      <c r="F555" s="73">
        <v>260.0</v>
      </c>
      <c r="G555" s="74" t="s">
        <v>154</v>
      </c>
      <c r="H555" s="74" t="s">
        <v>2092</v>
      </c>
      <c r="I555" s="74" t="s">
        <v>2093</v>
      </c>
      <c r="J555" s="74" t="s">
        <v>1493</v>
      </c>
      <c r="K555" s="73">
        <v>1.0</v>
      </c>
      <c r="L555" s="73">
        <v>1.0</v>
      </c>
      <c r="M555" s="73"/>
      <c r="N555" s="75">
        <v>0.33749999999999997</v>
      </c>
      <c r="O555" s="76" t="s">
        <v>2100</v>
      </c>
      <c r="P555" s="75">
        <v>0.39444444444444443</v>
      </c>
      <c r="Q555" s="75"/>
      <c r="S555" s="75"/>
      <c r="T555" s="76" t="s">
        <v>599</v>
      </c>
      <c r="U555" s="74" t="s">
        <v>1419</v>
      </c>
      <c r="V555" s="74" t="s">
        <v>376</v>
      </c>
      <c r="W555" s="74"/>
      <c r="Y555" s="74"/>
      <c r="Z555" s="74"/>
      <c r="AA555" s="74"/>
      <c r="AB555" s="74"/>
      <c r="AC555" s="74"/>
      <c r="AD555" s="74"/>
      <c r="AE555" s="74"/>
      <c r="AF555" s="74"/>
      <c r="AG555" s="74"/>
    </row>
    <row r="556">
      <c r="A556" s="73">
        <v>2023.0</v>
      </c>
      <c r="B556" s="73" t="s">
        <v>1446</v>
      </c>
      <c r="C556" s="73">
        <v>21.0</v>
      </c>
      <c r="D556" s="74" t="s">
        <v>19</v>
      </c>
      <c r="E556" s="74" t="s">
        <v>50</v>
      </c>
      <c r="F556" s="73">
        <v>260.0</v>
      </c>
      <c r="G556" s="74" t="s">
        <v>154</v>
      </c>
      <c r="H556" s="74" t="s">
        <v>2092</v>
      </c>
      <c r="I556" s="74" t="s">
        <v>2093</v>
      </c>
      <c r="J556" s="74" t="s">
        <v>1493</v>
      </c>
      <c r="K556" s="73">
        <v>1.0</v>
      </c>
      <c r="L556" s="73">
        <v>2.0</v>
      </c>
      <c r="M556" s="73"/>
      <c r="N556" s="75">
        <v>0.39444444444444443</v>
      </c>
      <c r="O556" s="76" t="s">
        <v>599</v>
      </c>
      <c r="P556" s="75">
        <v>0.44236111111111115</v>
      </c>
      <c r="Q556" s="75"/>
      <c r="S556" s="75"/>
      <c r="T556" s="76" t="s">
        <v>1711</v>
      </c>
      <c r="U556" s="74" t="s">
        <v>1419</v>
      </c>
      <c r="V556" s="74" t="s">
        <v>376</v>
      </c>
      <c r="W556" s="74"/>
      <c r="Y556" s="74"/>
      <c r="Z556" s="74"/>
      <c r="AA556" s="74"/>
      <c r="AB556" s="74"/>
      <c r="AC556" s="74"/>
      <c r="AD556" s="74"/>
      <c r="AE556" s="74"/>
      <c r="AF556" s="74"/>
      <c r="AG556" s="74"/>
    </row>
    <row r="557">
      <c r="A557" s="73">
        <v>2023.0</v>
      </c>
      <c r="B557" s="73" t="s">
        <v>1446</v>
      </c>
      <c r="C557" s="73">
        <v>21.0</v>
      </c>
      <c r="D557" s="74" t="s">
        <v>19</v>
      </c>
      <c r="E557" s="74" t="s">
        <v>50</v>
      </c>
      <c r="F557" s="73">
        <v>260.0</v>
      </c>
      <c r="G557" s="74" t="s">
        <v>154</v>
      </c>
      <c r="H557" s="74" t="s">
        <v>2092</v>
      </c>
      <c r="I557" s="74" t="s">
        <v>2093</v>
      </c>
      <c r="J557" s="74" t="s">
        <v>1493</v>
      </c>
      <c r="K557" s="73">
        <v>1.0</v>
      </c>
      <c r="L557" s="73">
        <v>3.0</v>
      </c>
      <c r="M557" s="73"/>
      <c r="N557" s="75">
        <v>0.44236111111111115</v>
      </c>
      <c r="O557" s="76" t="s">
        <v>1711</v>
      </c>
      <c r="P557" s="75">
        <v>0.5</v>
      </c>
      <c r="Q557" s="75"/>
      <c r="S557" s="75"/>
      <c r="T557" s="76" t="s">
        <v>1901</v>
      </c>
      <c r="U557" s="74" t="s">
        <v>1526</v>
      </c>
      <c r="V557" s="74" t="s">
        <v>376</v>
      </c>
      <c r="W557" s="74"/>
      <c r="Y557" s="74"/>
      <c r="Z557" s="74"/>
      <c r="AA557" s="74"/>
      <c r="AB557" s="74"/>
      <c r="AC557" s="74"/>
      <c r="AD557" s="74"/>
      <c r="AE557" s="74"/>
      <c r="AF557" s="74"/>
      <c r="AG557" s="74"/>
    </row>
    <row r="558">
      <c r="A558" s="73">
        <v>2023.0</v>
      </c>
      <c r="B558" s="73" t="s">
        <v>1446</v>
      </c>
      <c r="C558" s="73">
        <v>21.0</v>
      </c>
      <c r="D558" s="74" t="s">
        <v>19</v>
      </c>
      <c r="E558" s="74" t="s">
        <v>50</v>
      </c>
      <c r="F558" s="73">
        <v>260.0</v>
      </c>
      <c r="G558" s="74" t="s">
        <v>154</v>
      </c>
      <c r="H558" s="74" t="s">
        <v>2092</v>
      </c>
      <c r="I558" s="74" t="s">
        <v>2093</v>
      </c>
      <c r="J558" s="74" t="s">
        <v>1493</v>
      </c>
      <c r="K558" s="73">
        <v>1.0</v>
      </c>
      <c r="L558" s="73">
        <v>4.0</v>
      </c>
      <c r="M558" s="73"/>
      <c r="N558" s="75">
        <v>0.5</v>
      </c>
      <c r="O558" s="76" t="s">
        <v>1901</v>
      </c>
      <c r="P558" s="75">
        <v>0.5430555555555555</v>
      </c>
      <c r="Q558" s="75"/>
      <c r="S558" s="75"/>
      <c r="T558" s="76" t="s">
        <v>2101</v>
      </c>
      <c r="U558" s="74" t="s">
        <v>1526</v>
      </c>
      <c r="V558" s="74" t="s">
        <v>376</v>
      </c>
      <c r="W558" s="74"/>
      <c r="Y558" s="74"/>
      <c r="Z558" s="74"/>
      <c r="AA558" s="74"/>
      <c r="AB558" s="74"/>
      <c r="AC558" s="74"/>
      <c r="AD558" s="74"/>
      <c r="AE558" s="74"/>
      <c r="AF558" s="74"/>
      <c r="AG558" s="74"/>
    </row>
    <row r="559">
      <c r="A559" s="73">
        <v>2023.0</v>
      </c>
      <c r="B559" s="73" t="s">
        <v>1446</v>
      </c>
      <c r="C559" s="73">
        <v>21.0</v>
      </c>
      <c r="D559" s="74" t="s">
        <v>19</v>
      </c>
      <c r="E559" s="74" t="s">
        <v>50</v>
      </c>
      <c r="F559" s="73">
        <v>260.0</v>
      </c>
      <c r="G559" s="74" t="s">
        <v>154</v>
      </c>
      <c r="H559" s="74" t="s">
        <v>2092</v>
      </c>
      <c r="I559" s="74" t="s">
        <v>2093</v>
      </c>
      <c r="J559" s="74" t="s">
        <v>1493</v>
      </c>
      <c r="K559" s="73">
        <v>1.0</v>
      </c>
      <c r="L559" s="73">
        <v>5.0</v>
      </c>
      <c r="M559" s="73"/>
      <c r="N559" s="75">
        <v>0.5430555555555555</v>
      </c>
      <c r="O559" s="76" t="s">
        <v>2101</v>
      </c>
      <c r="P559" s="75">
        <v>0.579861111111111</v>
      </c>
      <c r="Q559" s="75"/>
      <c r="S559" s="75"/>
      <c r="T559" s="76" t="s">
        <v>2102</v>
      </c>
      <c r="U559" s="74" t="s">
        <v>1526</v>
      </c>
      <c r="V559" s="74" t="s">
        <v>376</v>
      </c>
      <c r="W559" s="74"/>
      <c r="Y559" s="74"/>
      <c r="Z559" s="74"/>
      <c r="AA559" s="74"/>
      <c r="AB559" s="74"/>
      <c r="AC559" s="74"/>
      <c r="AD559" s="74"/>
      <c r="AE559" s="74"/>
      <c r="AF559" s="74"/>
      <c r="AG559" s="74"/>
    </row>
    <row r="560">
      <c r="A560" s="73">
        <v>2023.0</v>
      </c>
      <c r="B560" s="73" t="s">
        <v>1446</v>
      </c>
      <c r="C560" s="73">
        <v>21.0</v>
      </c>
      <c r="D560" s="74" t="s">
        <v>19</v>
      </c>
      <c r="E560" s="74" t="s">
        <v>50</v>
      </c>
      <c r="F560" s="73">
        <v>260.0</v>
      </c>
      <c r="G560" s="74" t="s">
        <v>154</v>
      </c>
      <c r="H560" s="74" t="s">
        <v>2092</v>
      </c>
      <c r="I560" s="74" t="s">
        <v>2093</v>
      </c>
      <c r="J560" s="74" t="s">
        <v>1493</v>
      </c>
      <c r="K560" s="73">
        <v>1.0</v>
      </c>
      <c r="L560" s="73">
        <v>6.0</v>
      </c>
      <c r="M560" s="73"/>
      <c r="N560" s="75">
        <v>0.579861111111111</v>
      </c>
      <c r="O560" s="76" t="s">
        <v>2102</v>
      </c>
      <c r="P560" s="75">
        <v>0.6361111111111112</v>
      </c>
      <c r="Q560" s="75"/>
      <c r="S560" s="75"/>
      <c r="T560" s="76" t="s">
        <v>444</v>
      </c>
      <c r="U560" s="74" t="s">
        <v>1526</v>
      </c>
      <c r="V560" s="74" t="s">
        <v>376</v>
      </c>
      <c r="W560" s="74"/>
      <c r="Y560" s="74"/>
      <c r="Z560" s="74"/>
      <c r="AA560" s="74"/>
      <c r="AB560" s="74"/>
      <c r="AC560" s="74"/>
      <c r="AD560" s="74"/>
      <c r="AE560" s="74"/>
      <c r="AF560" s="74"/>
      <c r="AG560" s="74"/>
    </row>
    <row r="561">
      <c r="A561" s="73">
        <v>2023.0</v>
      </c>
      <c r="B561" s="73" t="s">
        <v>1446</v>
      </c>
      <c r="C561" s="73">
        <v>21.0</v>
      </c>
      <c r="D561" s="74" t="s">
        <v>19</v>
      </c>
      <c r="E561" s="74" t="s">
        <v>50</v>
      </c>
      <c r="F561" s="73">
        <v>319.0</v>
      </c>
      <c r="G561" s="74" t="s">
        <v>154</v>
      </c>
      <c r="H561" s="74" t="s">
        <v>2089</v>
      </c>
      <c r="I561" s="74" t="s">
        <v>2090</v>
      </c>
      <c r="J561" s="73">
        <v>24.0</v>
      </c>
      <c r="K561" s="73">
        <v>2.0</v>
      </c>
      <c r="L561" s="73">
        <v>1.0</v>
      </c>
      <c r="M561" s="73"/>
      <c r="N561" s="75">
        <v>0.33888888888888885</v>
      </c>
      <c r="O561" s="76" t="s">
        <v>2103</v>
      </c>
      <c r="P561" s="75">
        <v>0.3951388888888889</v>
      </c>
      <c r="Q561" s="75"/>
      <c r="S561" s="75"/>
      <c r="T561" s="76" t="s">
        <v>547</v>
      </c>
      <c r="U561" s="74" t="s">
        <v>2104</v>
      </c>
      <c r="V561" s="74" t="s">
        <v>376</v>
      </c>
      <c r="W561" s="74"/>
      <c r="Y561" s="74"/>
      <c r="Z561" s="74"/>
      <c r="AA561" s="74"/>
      <c r="AB561" s="74"/>
      <c r="AC561" s="74"/>
      <c r="AD561" s="74"/>
      <c r="AE561" s="74"/>
      <c r="AF561" s="74"/>
      <c r="AG561" s="74"/>
    </row>
    <row r="562">
      <c r="A562" s="73">
        <v>2023.0</v>
      </c>
      <c r="B562" s="73" t="s">
        <v>1446</v>
      </c>
      <c r="C562" s="73">
        <v>21.0</v>
      </c>
      <c r="D562" s="74" t="s">
        <v>19</v>
      </c>
      <c r="E562" s="74" t="s">
        <v>50</v>
      </c>
      <c r="F562" s="73">
        <v>319.0</v>
      </c>
      <c r="G562" s="74" t="s">
        <v>154</v>
      </c>
      <c r="H562" s="74" t="s">
        <v>2089</v>
      </c>
      <c r="I562" s="74" t="s">
        <v>2090</v>
      </c>
      <c r="J562" s="73">
        <v>24.0</v>
      </c>
      <c r="K562" s="73">
        <v>2.0</v>
      </c>
      <c r="L562" s="73">
        <v>2.0</v>
      </c>
      <c r="M562" s="73"/>
      <c r="N562" s="75">
        <v>0.3951388888888889</v>
      </c>
      <c r="O562" s="76" t="s">
        <v>547</v>
      </c>
      <c r="P562" s="75">
        <v>0.44375000000000003</v>
      </c>
      <c r="Q562" s="75"/>
      <c r="S562" s="75"/>
      <c r="T562" s="76" t="s">
        <v>1572</v>
      </c>
      <c r="U562" s="74" t="s">
        <v>2104</v>
      </c>
      <c r="V562" s="74" t="s">
        <v>422</v>
      </c>
      <c r="W562" s="74" t="s">
        <v>2009</v>
      </c>
      <c r="Y562" s="74"/>
      <c r="Z562" s="74"/>
      <c r="AA562" s="74"/>
      <c r="AB562" s="74"/>
      <c r="AC562" s="74"/>
      <c r="AD562" s="74"/>
      <c r="AE562" s="74"/>
      <c r="AF562" s="74"/>
      <c r="AG562" s="74"/>
    </row>
    <row r="563">
      <c r="A563" s="73">
        <v>2023.0</v>
      </c>
      <c r="B563" s="73" t="s">
        <v>1446</v>
      </c>
      <c r="C563" s="73">
        <v>21.0</v>
      </c>
      <c r="D563" s="74" t="s">
        <v>19</v>
      </c>
      <c r="E563" s="74" t="s">
        <v>50</v>
      </c>
      <c r="F563" s="73">
        <v>319.0</v>
      </c>
      <c r="G563" s="74" t="s">
        <v>154</v>
      </c>
      <c r="H563" s="74" t="s">
        <v>2089</v>
      </c>
      <c r="I563" s="74" t="s">
        <v>2090</v>
      </c>
      <c r="J563" s="73">
        <v>24.0</v>
      </c>
      <c r="K563" s="73">
        <v>2.0</v>
      </c>
      <c r="L563" s="73">
        <v>3.0</v>
      </c>
      <c r="M563" s="73"/>
      <c r="N563" s="75">
        <v>0.44375000000000003</v>
      </c>
      <c r="O563" s="76" t="s">
        <v>1572</v>
      </c>
      <c r="P563" s="75">
        <v>0.5020833333333333</v>
      </c>
      <c r="Q563" s="75"/>
      <c r="S563" s="75"/>
      <c r="T563" s="76" t="s">
        <v>1852</v>
      </c>
      <c r="U563" s="74" t="s">
        <v>2105</v>
      </c>
      <c r="V563" s="74" t="s">
        <v>422</v>
      </c>
      <c r="W563" s="74"/>
      <c r="Y563" s="74"/>
      <c r="Z563" s="74"/>
      <c r="AA563" s="74"/>
      <c r="AB563" s="74"/>
      <c r="AC563" s="74"/>
      <c r="AD563" s="74"/>
      <c r="AE563" s="74"/>
      <c r="AF563" s="74"/>
      <c r="AG563" s="74"/>
    </row>
    <row r="564">
      <c r="A564" s="73">
        <v>2023.0</v>
      </c>
      <c r="B564" s="73" t="s">
        <v>1446</v>
      </c>
      <c r="C564" s="73">
        <v>21.0</v>
      </c>
      <c r="D564" s="74" t="s">
        <v>19</v>
      </c>
      <c r="E564" s="74" t="s">
        <v>50</v>
      </c>
      <c r="F564" s="73">
        <v>319.0</v>
      </c>
      <c r="G564" s="74" t="s">
        <v>2060</v>
      </c>
      <c r="H564" s="74" t="s">
        <v>2089</v>
      </c>
      <c r="I564" s="74" t="s">
        <v>2090</v>
      </c>
      <c r="J564" s="73">
        <v>24.0</v>
      </c>
      <c r="K564" s="73">
        <v>2.0</v>
      </c>
      <c r="L564" s="73">
        <v>4.0</v>
      </c>
      <c r="M564" s="73"/>
      <c r="N564" s="75">
        <v>0.5020833333333333</v>
      </c>
      <c r="O564" s="76" t="s">
        <v>1852</v>
      </c>
      <c r="P564" s="75">
        <v>0.5444444444444444</v>
      </c>
      <c r="Q564" s="75"/>
      <c r="S564" s="75"/>
      <c r="T564" s="76" t="s">
        <v>2106</v>
      </c>
      <c r="U564" s="74" t="s">
        <v>2107</v>
      </c>
      <c r="V564" s="74" t="s">
        <v>376</v>
      </c>
      <c r="W564" s="74"/>
      <c r="Y564" s="74"/>
      <c r="Z564" s="74"/>
      <c r="AA564" s="74"/>
      <c r="AB564" s="74"/>
      <c r="AC564" s="74"/>
      <c r="AD564" s="74"/>
      <c r="AE564" s="74"/>
      <c r="AF564" s="74"/>
      <c r="AG564" s="74"/>
    </row>
    <row r="565">
      <c r="A565" s="73">
        <v>2023.0</v>
      </c>
      <c r="B565" s="73" t="s">
        <v>1446</v>
      </c>
      <c r="C565" s="73">
        <v>21.0</v>
      </c>
      <c r="D565" s="74" t="s">
        <v>19</v>
      </c>
      <c r="E565" s="74" t="s">
        <v>50</v>
      </c>
      <c r="F565" s="73">
        <v>319.0</v>
      </c>
      <c r="G565" s="74" t="s">
        <v>2060</v>
      </c>
      <c r="H565" s="74" t="s">
        <v>2089</v>
      </c>
      <c r="I565" s="74" t="s">
        <v>2090</v>
      </c>
      <c r="J565" s="73">
        <v>24.0</v>
      </c>
      <c r="K565" s="73">
        <v>2.0</v>
      </c>
      <c r="L565" s="73">
        <v>5.0</v>
      </c>
      <c r="M565" s="73"/>
      <c r="N565" s="75">
        <v>0.5444444444444444</v>
      </c>
      <c r="O565" s="76" t="s">
        <v>2106</v>
      </c>
      <c r="P565" s="75">
        <v>0.5819444444444445</v>
      </c>
      <c r="Q565" s="75"/>
      <c r="S565" s="75"/>
      <c r="T565" s="76" t="s">
        <v>833</v>
      </c>
      <c r="U565" s="74" t="s">
        <v>2107</v>
      </c>
      <c r="V565" s="74" t="s">
        <v>422</v>
      </c>
      <c r="W565" s="74"/>
      <c r="Y565" s="74"/>
      <c r="Z565" s="74"/>
      <c r="AA565" s="74"/>
      <c r="AB565" s="74"/>
      <c r="AC565" s="74"/>
      <c r="AD565" s="74"/>
      <c r="AE565" s="74"/>
      <c r="AF565" s="74"/>
      <c r="AG565" s="74"/>
    </row>
    <row r="566">
      <c r="A566" s="73">
        <v>2023.0</v>
      </c>
      <c r="B566" s="73" t="s">
        <v>1446</v>
      </c>
      <c r="C566" s="73">
        <v>21.0</v>
      </c>
      <c r="D566" s="74" t="s">
        <v>19</v>
      </c>
      <c r="E566" s="74" t="s">
        <v>50</v>
      </c>
      <c r="F566" s="73">
        <v>319.0</v>
      </c>
      <c r="G566" s="74" t="s">
        <v>2060</v>
      </c>
      <c r="H566" s="74" t="s">
        <v>2089</v>
      </c>
      <c r="I566" s="74" t="s">
        <v>2090</v>
      </c>
      <c r="J566" s="73">
        <v>24.0</v>
      </c>
      <c r="K566" s="73">
        <v>2.0</v>
      </c>
      <c r="L566" s="73">
        <v>6.0</v>
      </c>
      <c r="M566" s="73"/>
      <c r="N566" s="75">
        <v>0.5819444444444445</v>
      </c>
      <c r="O566" s="76" t="s">
        <v>833</v>
      </c>
      <c r="P566" s="75">
        <v>0.6069444444444444</v>
      </c>
      <c r="Q566" s="75"/>
      <c r="S566" s="75"/>
      <c r="T566" s="76" t="s">
        <v>1760</v>
      </c>
      <c r="U566" s="74" t="s">
        <v>2107</v>
      </c>
      <c r="V566" s="74" t="s">
        <v>376</v>
      </c>
      <c r="W566" s="74"/>
      <c r="Y566" s="74"/>
      <c r="Z566" s="74"/>
      <c r="AA566" s="74"/>
      <c r="AB566" s="74"/>
      <c r="AC566" s="74"/>
      <c r="AD566" s="74"/>
      <c r="AE566" s="74"/>
      <c r="AF566" s="74"/>
      <c r="AG566" s="74"/>
    </row>
    <row r="567">
      <c r="A567" s="73">
        <v>2023.0</v>
      </c>
      <c r="B567" s="73" t="s">
        <v>1446</v>
      </c>
      <c r="C567" s="73">
        <v>21.0</v>
      </c>
      <c r="D567" s="74" t="s">
        <v>19</v>
      </c>
      <c r="E567" s="74" t="s">
        <v>50</v>
      </c>
      <c r="F567" s="73">
        <v>319.0</v>
      </c>
      <c r="G567" s="74" t="s">
        <v>2060</v>
      </c>
      <c r="H567" s="74" t="s">
        <v>2089</v>
      </c>
      <c r="I567" s="74" t="s">
        <v>2090</v>
      </c>
      <c r="J567" s="73">
        <v>24.0</v>
      </c>
      <c r="K567" s="73">
        <v>2.0</v>
      </c>
      <c r="L567" s="73">
        <v>7.0</v>
      </c>
      <c r="M567" s="73"/>
      <c r="N567" s="75">
        <v>0.6069444444444444</v>
      </c>
      <c r="O567" s="76" t="s">
        <v>1760</v>
      </c>
      <c r="P567" s="75">
        <v>0.638888888888889</v>
      </c>
      <c r="Q567" s="75"/>
      <c r="S567" s="75"/>
      <c r="T567" s="76" t="s">
        <v>1858</v>
      </c>
      <c r="U567" s="74" t="s">
        <v>2108</v>
      </c>
      <c r="V567" s="74" t="s">
        <v>422</v>
      </c>
      <c r="W567" s="74" t="s">
        <v>2109</v>
      </c>
      <c r="Y567" s="74"/>
      <c r="Z567" s="74"/>
      <c r="AA567" s="74"/>
      <c r="AB567" s="74"/>
      <c r="AC567" s="74"/>
      <c r="AD567" s="74"/>
      <c r="AE567" s="74"/>
      <c r="AF567" s="74"/>
      <c r="AG567" s="74"/>
    </row>
    <row r="568">
      <c r="A568" s="73">
        <v>2023.0</v>
      </c>
      <c r="B568" s="73" t="s">
        <v>1446</v>
      </c>
      <c r="C568" s="73">
        <v>21.0</v>
      </c>
      <c r="D568" s="74" t="s">
        <v>19</v>
      </c>
      <c r="E568" s="74" t="s">
        <v>50</v>
      </c>
      <c r="F568" s="73">
        <v>320.0</v>
      </c>
      <c r="G568" s="74" t="s">
        <v>154</v>
      </c>
      <c r="H568" s="74" t="s">
        <v>2084</v>
      </c>
      <c r="I568" s="74" t="s">
        <v>2085</v>
      </c>
      <c r="J568" s="73">
        <v>23.0</v>
      </c>
      <c r="K568" s="73">
        <v>3.0</v>
      </c>
      <c r="L568" s="73">
        <v>1.0</v>
      </c>
      <c r="M568" s="73"/>
      <c r="N568" s="75">
        <v>0.34097222222222223</v>
      </c>
      <c r="O568" s="76" t="s">
        <v>2110</v>
      </c>
      <c r="P568" s="75">
        <v>0.3965277777777778</v>
      </c>
      <c r="Q568" s="75"/>
      <c r="S568" s="75"/>
      <c r="T568" s="76" t="s">
        <v>1603</v>
      </c>
      <c r="U568" s="74" t="s">
        <v>2075</v>
      </c>
      <c r="V568" s="74" t="s">
        <v>376</v>
      </c>
      <c r="W568" s="74"/>
      <c r="Y568" s="74"/>
      <c r="Z568" s="74"/>
      <c r="AA568" s="74"/>
      <c r="AB568" s="74"/>
      <c r="AC568" s="74"/>
      <c r="AD568" s="74"/>
      <c r="AE568" s="74"/>
      <c r="AF568" s="74"/>
      <c r="AG568" s="74"/>
    </row>
    <row r="569">
      <c r="A569" s="73">
        <v>2023.0</v>
      </c>
      <c r="B569" s="73" t="s">
        <v>1446</v>
      </c>
      <c r="C569" s="73">
        <v>21.0</v>
      </c>
      <c r="D569" s="74" t="s">
        <v>19</v>
      </c>
      <c r="E569" s="74" t="s">
        <v>50</v>
      </c>
      <c r="F569" s="73">
        <v>320.0</v>
      </c>
      <c r="G569" s="74" t="s">
        <v>154</v>
      </c>
      <c r="H569" s="74" t="s">
        <v>2084</v>
      </c>
      <c r="I569" s="74" t="s">
        <v>2085</v>
      </c>
      <c r="J569" s="73">
        <v>23.0</v>
      </c>
      <c r="K569" s="73">
        <v>3.0</v>
      </c>
      <c r="L569" s="73">
        <v>2.0</v>
      </c>
      <c r="M569" s="73"/>
      <c r="N569" s="75">
        <v>0.3965277777777778</v>
      </c>
      <c r="O569" s="76" t="s">
        <v>1603</v>
      </c>
      <c r="P569" s="75">
        <v>0.4458333333333333</v>
      </c>
      <c r="Q569" s="75"/>
      <c r="S569" s="75"/>
      <c r="T569" s="76" t="s">
        <v>2111</v>
      </c>
      <c r="U569" s="74" t="s">
        <v>2075</v>
      </c>
      <c r="V569" s="74" t="s">
        <v>422</v>
      </c>
      <c r="W569" s="74" t="s">
        <v>2009</v>
      </c>
      <c r="Y569" s="74"/>
      <c r="Z569" s="74"/>
      <c r="AA569" s="74"/>
      <c r="AB569" s="74"/>
      <c r="AC569" s="74"/>
      <c r="AD569" s="74"/>
      <c r="AE569" s="74"/>
      <c r="AF569" s="74"/>
      <c r="AG569" s="74"/>
    </row>
    <row r="570">
      <c r="A570" s="73">
        <v>2023.0</v>
      </c>
      <c r="B570" s="73" t="s">
        <v>1446</v>
      </c>
      <c r="C570" s="73">
        <v>21.0</v>
      </c>
      <c r="D570" s="74" t="s">
        <v>19</v>
      </c>
      <c r="E570" s="74" t="s">
        <v>50</v>
      </c>
      <c r="F570" s="73">
        <v>320.0</v>
      </c>
      <c r="G570" s="74" t="s">
        <v>154</v>
      </c>
      <c r="H570" s="74" t="s">
        <v>2084</v>
      </c>
      <c r="I570" s="74" t="s">
        <v>2085</v>
      </c>
      <c r="J570" s="73">
        <v>23.0</v>
      </c>
      <c r="K570" s="73">
        <v>3.0</v>
      </c>
      <c r="L570" s="73">
        <v>3.0</v>
      </c>
      <c r="M570" s="73"/>
      <c r="N570" s="75">
        <v>0.4458333333333333</v>
      </c>
      <c r="O570" s="76" t="s">
        <v>2111</v>
      </c>
      <c r="P570" s="75">
        <v>0.48125</v>
      </c>
      <c r="Q570" s="75"/>
      <c r="S570" s="75"/>
      <c r="T570" s="76" t="s">
        <v>600</v>
      </c>
      <c r="U570" s="74" t="s">
        <v>1526</v>
      </c>
      <c r="V570" s="74" t="s">
        <v>1594</v>
      </c>
      <c r="W570" s="74"/>
      <c r="Y570" s="74"/>
      <c r="Z570" s="74"/>
      <c r="AA570" s="74"/>
      <c r="AB570" s="74"/>
      <c r="AC570" s="74"/>
      <c r="AD570" s="74"/>
      <c r="AE570" s="74"/>
      <c r="AF570" s="74"/>
      <c r="AG570" s="74"/>
    </row>
    <row r="571">
      <c r="A571" s="73">
        <v>2023.0</v>
      </c>
      <c r="B571" s="73" t="s">
        <v>1446</v>
      </c>
      <c r="C571" s="73">
        <v>21.0</v>
      </c>
      <c r="D571" s="74" t="s">
        <v>19</v>
      </c>
      <c r="E571" s="74" t="s">
        <v>50</v>
      </c>
      <c r="F571" s="73">
        <v>320.0</v>
      </c>
      <c r="G571" s="74" t="s">
        <v>2060</v>
      </c>
      <c r="H571" s="74" t="s">
        <v>2084</v>
      </c>
      <c r="I571" s="74" t="s">
        <v>2085</v>
      </c>
      <c r="J571" s="73">
        <v>23.0</v>
      </c>
      <c r="K571" s="73">
        <v>3.0</v>
      </c>
      <c r="L571" s="73">
        <v>4.0</v>
      </c>
      <c r="M571" s="73"/>
      <c r="N571" s="75">
        <v>0.48125</v>
      </c>
      <c r="O571" s="76" t="s">
        <v>600</v>
      </c>
      <c r="P571" s="75">
        <v>0.545138888888889</v>
      </c>
      <c r="Q571" s="75"/>
      <c r="S571" s="75"/>
      <c r="T571" s="76" t="s">
        <v>1681</v>
      </c>
      <c r="U571" s="74" t="s">
        <v>2112</v>
      </c>
      <c r="V571" s="74" t="s">
        <v>376</v>
      </c>
      <c r="W571" s="74"/>
      <c r="Y571" s="74"/>
      <c r="Z571" s="74"/>
      <c r="AA571" s="74"/>
      <c r="AB571" s="74"/>
      <c r="AC571" s="74"/>
      <c r="AD571" s="74"/>
      <c r="AE571" s="74"/>
      <c r="AF571" s="74"/>
      <c r="AG571" s="74"/>
    </row>
    <row r="572">
      <c r="A572" s="73">
        <v>2023.0</v>
      </c>
      <c r="B572" s="73" t="s">
        <v>1446</v>
      </c>
      <c r="C572" s="73">
        <v>21.0</v>
      </c>
      <c r="D572" s="74" t="s">
        <v>19</v>
      </c>
      <c r="E572" s="74" t="s">
        <v>50</v>
      </c>
      <c r="F572" s="73">
        <v>320.0</v>
      </c>
      <c r="G572" s="74" t="s">
        <v>2060</v>
      </c>
      <c r="H572" s="74" t="s">
        <v>2084</v>
      </c>
      <c r="I572" s="74" t="s">
        <v>2085</v>
      </c>
      <c r="J572" s="73">
        <v>23.0</v>
      </c>
      <c r="K572" s="73">
        <v>3.0</v>
      </c>
      <c r="L572" s="73">
        <v>5.0</v>
      </c>
      <c r="M572" s="73"/>
      <c r="N572" s="75">
        <v>0.545138888888889</v>
      </c>
      <c r="O572" s="76" t="s">
        <v>1681</v>
      </c>
      <c r="P572" s="75">
        <v>0.5833333333333334</v>
      </c>
      <c r="Q572" s="75"/>
      <c r="S572" s="75"/>
      <c r="T572" s="76" t="s">
        <v>673</v>
      </c>
      <c r="U572" s="74" t="s">
        <v>2112</v>
      </c>
      <c r="V572" s="74" t="s">
        <v>376</v>
      </c>
      <c r="W572" s="74"/>
      <c r="Y572" s="74"/>
      <c r="Z572" s="74"/>
      <c r="AA572" s="74"/>
      <c r="AB572" s="74"/>
      <c r="AC572" s="74"/>
      <c r="AD572" s="74"/>
      <c r="AE572" s="74"/>
      <c r="AF572" s="74"/>
      <c r="AG572" s="74"/>
    </row>
    <row r="573">
      <c r="A573" s="73">
        <v>2023.0</v>
      </c>
      <c r="B573" s="73" t="s">
        <v>1446</v>
      </c>
      <c r="C573" s="73">
        <v>21.0</v>
      </c>
      <c r="D573" s="74" t="s">
        <v>19</v>
      </c>
      <c r="E573" s="74" t="s">
        <v>50</v>
      </c>
      <c r="F573" s="73">
        <v>320.0</v>
      </c>
      <c r="G573" s="74" t="s">
        <v>2060</v>
      </c>
      <c r="H573" s="74" t="s">
        <v>2084</v>
      </c>
      <c r="I573" s="74" t="s">
        <v>2085</v>
      </c>
      <c r="J573" s="73">
        <v>23.0</v>
      </c>
      <c r="K573" s="73">
        <v>3.0</v>
      </c>
      <c r="L573" s="73">
        <v>6.0</v>
      </c>
      <c r="M573" s="73"/>
      <c r="N573" s="75">
        <v>0.5833333333333334</v>
      </c>
      <c r="O573" s="76" t="s">
        <v>673</v>
      </c>
      <c r="P573" s="75">
        <v>0.642361111111111</v>
      </c>
      <c r="Q573" s="75"/>
      <c r="S573" s="75"/>
      <c r="T573" s="76" t="s">
        <v>469</v>
      </c>
      <c r="U573" s="74" t="s">
        <v>2112</v>
      </c>
      <c r="V573" s="74" t="s">
        <v>422</v>
      </c>
      <c r="W573" s="74" t="s">
        <v>2051</v>
      </c>
      <c r="Y573" s="74"/>
      <c r="Z573" s="74"/>
      <c r="AA573" s="74"/>
      <c r="AB573" s="74"/>
      <c r="AC573" s="74"/>
      <c r="AD573" s="74"/>
      <c r="AE573" s="74"/>
      <c r="AF573" s="74"/>
      <c r="AG573" s="74"/>
    </row>
    <row r="574">
      <c r="A574" s="73">
        <v>2023.0</v>
      </c>
      <c r="B574" s="73" t="s">
        <v>1446</v>
      </c>
      <c r="C574" s="73">
        <v>21.0</v>
      </c>
      <c r="D574" s="74" t="s">
        <v>19</v>
      </c>
      <c r="E574" s="74" t="s">
        <v>50</v>
      </c>
      <c r="F574" s="73">
        <v>322.0</v>
      </c>
      <c r="G574" s="74" t="s">
        <v>154</v>
      </c>
      <c r="H574" s="74" t="s">
        <v>2081</v>
      </c>
      <c r="I574" s="74" t="s">
        <v>2082</v>
      </c>
      <c r="J574" s="74" t="s">
        <v>1486</v>
      </c>
      <c r="K574" s="73">
        <v>4.0</v>
      </c>
      <c r="L574" s="73">
        <v>1.0</v>
      </c>
      <c r="M574" s="73"/>
      <c r="N574" s="75">
        <v>0.34375</v>
      </c>
      <c r="O574" s="76" t="s">
        <v>1780</v>
      </c>
      <c r="P574" s="75">
        <v>0.3972222222222222</v>
      </c>
      <c r="Q574" s="75"/>
      <c r="S574" s="75"/>
      <c r="T574" s="76" t="s">
        <v>722</v>
      </c>
      <c r="U574" s="74" t="s">
        <v>1434</v>
      </c>
      <c r="V574" s="74" t="s">
        <v>376</v>
      </c>
      <c r="W574" s="74"/>
      <c r="Y574" s="74"/>
      <c r="Z574" s="74"/>
      <c r="AA574" s="74"/>
      <c r="AB574" s="74"/>
      <c r="AC574" s="74"/>
      <c r="AD574" s="74"/>
      <c r="AE574" s="74"/>
      <c r="AF574" s="74"/>
      <c r="AG574" s="74"/>
    </row>
    <row r="575">
      <c r="A575" s="73">
        <v>2023.0</v>
      </c>
      <c r="B575" s="73" t="s">
        <v>1446</v>
      </c>
      <c r="C575" s="73">
        <v>21.0</v>
      </c>
      <c r="D575" s="74" t="s">
        <v>19</v>
      </c>
      <c r="E575" s="74" t="s">
        <v>50</v>
      </c>
      <c r="F575" s="73">
        <v>322.0</v>
      </c>
      <c r="G575" s="74" t="s">
        <v>154</v>
      </c>
      <c r="H575" s="74" t="s">
        <v>2081</v>
      </c>
      <c r="I575" s="74" t="s">
        <v>2082</v>
      </c>
      <c r="J575" s="74" t="s">
        <v>1486</v>
      </c>
      <c r="K575" s="73">
        <v>4.0</v>
      </c>
      <c r="L575" s="73">
        <v>2.0</v>
      </c>
      <c r="M575" s="73"/>
      <c r="N575" s="75">
        <v>0.3972222222222222</v>
      </c>
      <c r="O575" s="76" t="s">
        <v>722</v>
      </c>
      <c r="P575" s="75">
        <v>0.4479166666666667</v>
      </c>
      <c r="Q575" s="75"/>
      <c r="S575" s="75"/>
      <c r="T575" s="76" t="s">
        <v>345</v>
      </c>
      <c r="U575" s="74" t="s">
        <v>1434</v>
      </c>
      <c r="V575" s="74" t="s">
        <v>422</v>
      </c>
      <c r="W575" s="74" t="s">
        <v>2009</v>
      </c>
      <c r="Y575" s="74"/>
      <c r="Z575" s="74"/>
      <c r="AA575" s="74"/>
      <c r="AB575" s="74"/>
      <c r="AC575" s="74"/>
      <c r="AD575" s="74"/>
      <c r="AE575" s="74"/>
      <c r="AF575" s="74"/>
      <c r="AG575" s="74"/>
    </row>
    <row r="576">
      <c r="A576" s="73">
        <v>2023.0</v>
      </c>
      <c r="B576" s="73" t="s">
        <v>1446</v>
      </c>
      <c r="C576" s="73">
        <v>21.0</v>
      </c>
      <c r="D576" s="74" t="s">
        <v>19</v>
      </c>
      <c r="E576" s="74" t="s">
        <v>50</v>
      </c>
      <c r="F576" s="73">
        <v>322.0</v>
      </c>
      <c r="G576" s="74" t="s">
        <v>154</v>
      </c>
      <c r="H576" s="74" t="s">
        <v>2081</v>
      </c>
      <c r="I576" s="74" t="s">
        <v>2082</v>
      </c>
      <c r="J576" s="74" t="s">
        <v>1486</v>
      </c>
      <c r="K576" s="73">
        <v>4.0</v>
      </c>
      <c r="L576" s="73">
        <v>3.0</v>
      </c>
      <c r="M576" s="73"/>
      <c r="N576" s="75">
        <v>0.4479166666666667</v>
      </c>
      <c r="O576" s="76" t="s">
        <v>345</v>
      </c>
      <c r="P576" s="75">
        <v>0.5048611111111111</v>
      </c>
      <c r="Q576" s="75"/>
      <c r="S576" s="75"/>
      <c r="T576" s="76" t="s">
        <v>1950</v>
      </c>
      <c r="U576" s="74" t="s">
        <v>1526</v>
      </c>
      <c r="V576" s="74" t="s">
        <v>376</v>
      </c>
      <c r="W576" s="74"/>
      <c r="Y576" s="74"/>
      <c r="Z576" s="74"/>
      <c r="AA576" s="74"/>
      <c r="AB576" s="74"/>
      <c r="AC576" s="74"/>
      <c r="AD576" s="74"/>
      <c r="AE576" s="74"/>
      <c r="AF576" s="74"/>
      <c r="AG576" s="74"/>
    </row>
    <row r="577">
      <c r="A577" s="73">
        <v>2023.0</v>
      </c>
      <c r="B577" s="73" t="s">
        <v>1446</v>
      </c>
      <c r="C577" s="73">
        <v>21.0</v>
      </c>
      <c r="D577" s="74" t="s">
        <v>19</v>
      </c>
      <c r="E577" s="74" t="s">
        <v>50</v>
      </c>
      <c r="F577" s="73">
        <v>322.0</v>
      </c>
      <c r="G577" s="74" t="s">
        <v>2060</v>
      </c>
      <c r="H577" s="74" t="s">
        <v>2081</v>
      </c>
      <c r="I577" s="74" t="s">
        <v>2082</v>
      </c>
      <c r="J577" s="74" t="s">
        <v>1486</v>
      </c>
      <c r="K577" s="73">
        <v>4.0</v>
      </c>
      <c r="L577" s="73">
        <v>4.0</v>
      </c>
      <c r="M577" s="73"/>
      <c r="N577" s="75">
        <v>0.5048611111111111</v>
      </c>
      <c r="O577" s="76" t="s">
        <v>1950</v>
      </c>
      <c r="P577" s="75">
        <v>0.5458333333333333</v>
      </c>
      <c r="Q577" s="75"/>
      <c r="S577" s="75"/>
      <c r="T577" s="76" t="s">
        <v>2113</v>
      </c>
      <c r="U577" s="74" t="s">
        <v>2112</v>
      </c>
      <c r="V577" s="74" t="s">
        <v>376</v>
      </c>
      <c r="W577" s="74"/>
      <c r="Y577" s="74"/>
      <c r="Z577" s="74"/>
      <c r="AA577" s="74"/>
      <c r="AB577" s="74"/>
      <c r="AC577" s="74"/>
      <c r="AD577" s="74"/>
      <c r="AE577" s="74"/>
      <c r="AF577" s="74"/>
      <c r="AG577" s="74"/>
    </row>
    <row r="578">
      <c r="A578" s="73">
        <v>2023.0</v>
      </c>
      <c r="B578" s="73" t="s">
        <v>1446</v>
      </c>
      <c r="C578" s="73">
        <v>21.0</v>
      </c>
      <c r="D578" s="74" t="s">
        <v>19</v>
      </c>
      <c r="E578" s="74" t="s">
        <v>50</v>
      </c>
      <c r="F578" s="73">
        <v>324.0</v>
      </c>
      <c r="G578" s="74" t="s">
        <v>2060</v>
      </c>
      <c r="H578" s="74" t="s">
        <v>2071</v>
      </c>
      <c r="I578" s="74" t="s">
        <v>2072</v>
      </c>
      <c r="J578" s="74" t="s">
        <v>1477</v>
      </c>
      <c r="K578" s="73">
        <v>5.0</v>
      </c>
      <c r="L578" s="73">
        <v>1.0</v>
      </c>
      <c r="M578" s="73"/>
      <c r="N578" s="75">
        <v>0.3458333333333334</v>
      </c>
      <c r="O578" s="76" t="s">
        <v>1793</v>
      </c>
      <c r="P578" s="75">
        <v>0.3986111111111111</v>
      </c>
      <c r="Q578" s="75"/>
      <c r="S578" s="75"/>
      <c r="T578" s="76" t="s">
        <v>1906</v>
      </c>
      <c r="U578" s="74" t="s">
        <v>1480</v>
      </c>
      <c r="V578" s="74" t="s">
        <v>376</v>
      </c>
      <c r="W578" s="74"/>
      <c r="Y578" s="74"/>
      <c r="Z578" s="74"/>
      <c r="AA578" s="74"/>
      <c r="AB578" s="74"/>
      <c r="AC578" s="74"/>
      <c r="AD578" s="74"/>
      <c r="AE578" s="74"/>
      <c r="AF578" s="74"/>
      <c r="AG578" s="74"/>
    </row>
    <row r="579">
      <c r="A579" s="73">
        <v>2023.0</v>
      </c>
      <c r="B579" s="73" t="s">
        <v>1446</v>
      </c>
      <c r="C579" s="73">
        <v>21.0</v>
      </c>
      <c r="D579" s="74" t="s">
        <v>19</v>
      </c>
      <c r="E579" s="74" t="s">
        <v>50</v>
      </c>
      <c r="F579" s="73">
        <v>324.0</v>
      </c>
      <c r="G579" s="74" t="s">
        <v>2060</v>
      </c>
      <c r="H579" s="74" t="s">
        <v>2071</v>
      </c>
      <c r="I579" s="74" t="s">
        <v>2072</v>
      </c>
      <c r="J579" s="74" t="s">
        <v>1477</v>
      </c>
      <c r="K579" s="73">
        <v>5.0</v>
      </c>
      <c r="L579" s="73">
        <v>2.0</v>
      </c>
      <c r="M579" s="73"/>
      <c r="N579" s="75">
        <v>0.3986111111111111</v>
      </c>
      <c r="O579" s="76" t="s">
        <v>1906</v>
      </c>
      <c r="P579" s="75">
        <v>0.44930555555555557</v>
      </c>
      <c r="Q579" s="75"/>
      <c r="S579" s="75"/>
      <c r="T579" s="76" t="s">
        <v>1864</v>
      </c>
      <c r="U579" s="74" t="s">
        <v>1480</v>
      </c>
      <c r="V579" s="74" t="s">
        <v>376</v>
      </c>
      <c r="W579" s="74"/>
      <c r="Y579" s="74"/>
      <c r="Z579" s="74"/>
      <c r="AA579" s="74"/>
      <c r="AB579" s="74"/>
      <c r="AC579" s="74"/>
      <c r="AD579" s="74"/>
      <c r="AE579" s="74"/>
      <c r="AF579" s="74"/>
      <c r="AG579" s="74"/>
    </row>
    <row r="580">
      <c r="A580" s="73">
        <v>2023.0</v>
      </c>
      <c r="B580" s="73" t="s">
        <v>1446</v>
      </c>
      <c r="C580" s="73">
        <v>21.0</v>
      </c>
      <c r="D580" s="74" t="s">
        <v>19</v>
      </c>
      <c r="E580" s="74" t="s">
        <v>50</v>
      </c>
      <c r="F580" s="73">
        <v>324.0</v>
      </c>
      <c r="G580" s="74" t="s">
        <v>2060</v>
      </c>
      <c r="H580" s="74" t="s">
        <v>2071</v>
      </c>
      <c r="I580" s="74" t="s">
        <v>2072</v>
      </c>
      <c r="J580" s="74" t="s">
        <v>1477</v>
      </c>
      <c r="K580" s="73">
        <v>5.0</v>
      </c>
      <c r="L580" s="73">
        <v>3.0</v>
      </c>
      <c r="M580" s="73"/>
      <c r="N580" s="75">
        <v>0.44930555555555557</v>
      </c>
      <c r="O580" s="76" t="s">
        <v>1864</v>
      </c>
      <c r="P580" s="75">
        <v>0.4597222222222222</v>
      </c>
      <c r="Q580" s="75"/>
      <c r="S580" s="75"/>
      <c r="T580" s="76" t="s">
        <v>586</v>
      </c>
      <c r="U580" s="74" t="s">
        <v>2114</v>
      </c>
      <c r="V580" s="74" t="s">
        <v>411</v>
      </c>
      <c r="W580" s="74" t="s">
        <v>2115</v>
      </c>
      <c r="Y580" s="74"/>
      <c r="Z580" s="74"/>
      <c r="AA580" s="74"/>
      <c r="AB580" s="74"/>
      <c r="AC580" s="74"/>
      <c r="AD580" s="74"/>
      <c r="AE580" s="74"/>
      <c r="AF580" s="74"/>
      <c r="AG580" s="74"/>
    </row>
    <row r="581">
      <c r="A581" s="73">
        <v>2023.0</v>
      </c>
      <c r="B581" s="73" t="s">
        <v>1446</v>
      </c>
      <c r="C581" s="73">
        <v>21.0</v>
      </c>
      <c r="D581" s="74" t="s">
        <v>19</v>
      </c>
      <c r="E581" s="74" t="s">
        <v>50</v>
      </c>
      <c r="F581" s="73">
        <v>324.0</v>
      </c>
      <c r="G581" s="74" t="s">
        <v>2116</v>
      </c>
      <c r="H581" s="74" t="s">
        <v>2071</v>
      </c>
      <c r="I581" s="74" t="s">
        <v>2072</v>
      </c>
      <c r="J581" s="74" t="s">
        <v>1477</v>
      </c>
      <c r="K581" s="73">
        <v>5.0</v>
      </c>
      <c r="L581" s="73">
        <v>4.0</v>
      </c>
      <c r="M581" s="73"/>
      <c r="N581" s="75">
        <v>0.4597222222222222</v>
      </c>
      <c r="O581" s="76" t="s">
        <v>586</v>
      </c>
      <c r="P581" s="75">
        <v>0.50625</v>
      </c>
      <c r="Q581" s="75"/>
      <c r="S581" s="75"/>
      <c r="T581" s="76" t="s">
        <v>1565</v>
      </c>
      <c r="U581" s="74" t="s">
        <v>2114</v>
      </c>
      <c r="V581" s="74" t="s">
        <v>422</v>
      </c>
      <c r="W581" s="74" t="s">
        <v>2117</v>
      </c>
      <c r="Y581" s="74"/>
      <c r="Z581" s="74"/>
      <c r="AA581" s="74"/>
      <c r="AB581" s="74"/>
      <c r="AC581" s="74"/>
      <c r="AD581" s="74"/>
      <c r="AE581" s="74"/>
      <c r="AF581" s="74"/>
      <c r="AG581" s="74"/>
    </row>
    <row r="582">
      <c r="A582" s="73">
        <v>2023.0</v>
      </c>
      <c r="B582" s="73" t="s">
        <v>1446</v>
      </c>
      <c r="C582" s="73">
        <v>21.0</v>
      </c>
      <c r="D582" s="74" t="s">
        <v>19</v>
      </c>
      <c r="E582" s="74" t="s">
        <v>50</v>
      </c>
      <c r="F582" s="73">
        <v>324.0</v>
      </c>
      <c r="G582" s="74" t="s">
        <v>2060</v>
      </c>
      <c r="H582" s="74" t="s">
        <v>2071</v>
      </c>
      <c r="I582" s="74" t="s">
        <v>2072</v>
      </c>
      <c r="J582" s="74" t="s">
        <v>1477</v>
      </c>
      <c r="K582" s="73">
        <v>5.0</v>
      </c>
      <c r="L582" s="73">
        <v>5.0</v>
      </c>
      <c r="M582" s="73"/>
      <c r="N582" s="75">
        <v>0.50625</v>
      </c>
      <c r="O582" s="76" t="s">
        <v>1565</v>
      </c>
      <c r="P582" s="75">
        <v>0.5305555555555556</v>
      </c>
      <c r="Q582" s="75"/>
      <c r="S582" s="75"/>
      <c r="T582" s="76" t="s">
        <v>1835</v>
      </c>
      <c r="U582" s="74" t="s">
        <v>1480</v>
      </c>
      <c r="V582" s="74" t="s">
        <v>376</v>
      </c>
      <c r="W582" s="74"/>
      <c r="Y582" s="74"/>
      <c r="Z582" s="74"/>
      <c r="AA582" s="74"/>
      <c r="AB582" s="74"/>
      <c r="AC582" s="74"/>
      <c r="AD582" s="74"/>
      <c r="AE582" s="74"/>
      <c r="AF582" s="74"/>
      <c r="AG582" s="74"/>
    </row>
    <row r="583">
      <c r="A583" s="73">
        <v>2023.0</v>
      </c>
      <c r="B583" s="73" t="s">
        <v>1446</v>
      </c>
      <c r="C583" s="73">
        <v>21.0</v>
      </c>
      <c r="D583" s="74" t="s">
        <v>19</v>
      </c>
      <c r="E583" s="74" t="s">
        <v>50</v>
      </c>
      <c r="F583" s="73">
        <v>324.0</v>
      </c>
      <c r="G583" s="74" t="s">
        <v>2060</v>
      </c>
      <c r="H583" s="74" t="s">
        <v>2071</v>
      </c>
      <c r="I583" s="74" t="s">
        <v>2072</v>
      </c>
      <c r="J583" s="74" t="s">
        <v>1477</v>
      </c>
      <c r="K583" s="73">
        <v>5.0</v>
      </c>
      <c r="L583" s="73">
        <v>6.0</v>
      </c>
      <c r="M583" s="73"/>
      <c r="N583" s="75">
        <v>0.5305555555555556</v>
      </c>
      <c r="O583" s="76" t="s">
        <v>1835</v>
      </c>
      <c r="P583" s="75">
        <v>0.5472222222222222</v>
      </c>
      <c r="Q583" s="75"/>
      <c r="S583" s="75"/>
      <c r="T583" s="76" t="s">
        <v>1764</v>
      </c>
      <c r="U583" s="74" t="s">
        <v>1551</v>
      </c>
      <c r="V583" s="74" t="s">
        <v>376</v>
      </c>
      <c r="W583" s="74"/>
      <c r="Y583" s="74"/>
      <c r="Z583" s="74"/>
      <c r="AA583" s="74"/>
      <c r="AB583" s="74"/>
      <c r="AC583" s="74"/>
      <c r="AD583" s="74"/>
      <c r="AE583" s="74"/>
      <c r="AF583" s="74"/>
      <c r="AG583" s="74"/>
    </row>
    <row r="584">
      <c r="A584" s="73">
        <v>2023.0</v>
      </c>
      <c r="B584" s="73" t="s">
        <v>1446</v>
      </c>
      <c r="C584" s="73">
        <v>21.0</v>
      </c>
      <c r="D584" s="74" t="s">
        <v>19</v>
      </c>
      <c r="E584" s="74" t="s">
        <v>50</v>
      </c>
      <c r="F584" s="73">
        <v>324.0</v>
      </c>
      <c r="G584" s="74" t="s">
        <v>2060</v>
      </c>
      <c r="H584" s="74" t="s">
        <v>2071</v>
      </c>
      <c r="I584" s="74" t="s">
        <v>2072</v>
      </c>
      <c r="J584" s="74" t="s">
        <v>1477</v>
      </c>
      <c r="K584" s="73">
        <v>5.0</v>
      </c>
      <c r="L584" s="73">
        <v>7.0</v>
      </c>
      <c r="M584" s="73"/>
      <c r="N584" s="75">
        <v>0.5472222222222222</v>
      </c>
      <c r="O584" s="76" t="s">
        <v>1764</v>
      </c>
      <c r="P584" s="75">
        <v>0.5638888888888889</v>
      </c>
      <c r="Q584" s="75"/>
      <c r="S584" s="75"/>
      <c r="T584" s="76" t="s">
        <v>499</v>
      </c>
      <c r="U584" s="74" t="s">
        <v>1551</v>
      </c>
      <c r="V584" s="74" t="s">
        <v>1621</v>
      </c>
      <c r="W584" s="74"/>
      <c r="Y584" s="74"/>
      <c r="Z584" s="74"/>
      <c r="AA584" s="74"/>
      <c r="AB584" s="74"/>
      <c r="AC584" s="74"/>
      <c r="AD584" s="74"/>
      <c r="AE584" s="74"/>
      <c r="AF584" s="74"/>
      <c r="AG584" s="74"/>
    </row>
    <row r="585">
      <c r="A585" s="73">
        <v>2023.0</v>
      </c>
      <c r="B585" s="73" t="s">
        <v>1446</v>
      </c>
      <c r="C585" s="73">
        <v>21.0</v>
      </c>
      <c r="D585" s="74" t="s">
        <v>19</v>
      </c>
      <c r="E585" s="74" t="s">
        <v>50</v>
      </c>
      <c r="F585" s="73">
        <v>326.0</v>
      </c>
      <c r="G585" s="74" t="s">
        <v>154</v>
      </c>
      <c r="H585" s="74" t="s">
        <v>2061</v>
      </c>
      <c r="I585" s="74" t="s">
        <v>2062</v>
      </c>
      <c r="J585" s="74" t="s">
        <v>1463</v>
      </c>
      <c r="K585" s="73">
        <v>6.0</v>
      </c>
      <c r="L585" s="73">
        <v>1.0</v>
      </c>
      <c r="M585" s="73"/>
      <c r="N585" s="75">
        <v>0.34930555555555554</v>
      </c>
      <c r="O585" s="76" t="s">
        <v>1710</v>
      </c>
      <c r="P585" s="75">
        <v>0.3993055555555556</v>
      </c>
      <c r="Q585" s="75"/>
      <c r="S585" s="75"/>
      <c r="T585" s="76" t="s">
        <v>729</v>
      </c>
      <c r="U585" s="74" t="s">
        <v>2118</v>
      </c>
      <c r="V585" s="74" t="s">
        <v>376</v>
      </c>
      <c r="W585" s="74" t="s">
        <v>2119</v>
      </c>
      <c r="Y585" s="74"/>
      <c r="Z585" s="74"/>
      <c r="AA585" s="74"/>
      <c r="AB585" s="74"/>
      <c r="AC585" s="74"/>
      <c r="AD585" s="74"/>
      <c r="AE585" s="74"/>
      <c r="AF585" s="74"/>
      <c r="AG585" s="74"/>
    </row>
    <row r="586">
      <c r="A586" s="73">
        <v>2023.0</v>
      </c>
      <c r="B586" s="73" t="s">
        <v>1446</v>
      </c>
      <c r="C586" s="73">
        <v>21.0</v>
      </c>
      <c r="D586" s="74" t="s">
        <v>19</v>
      </c>
      <c r="E586" s="74" t="s">
        <v>50</v>
      </c>
      <c r="F586" s="73">
        <v>326.0</v>
      </c>
      <c r="G586" s="74" t="s">
        <v>154</v>
      </c>
      <c r="H586" s="74" t="s">
        <v>2061</v>
      </c>
      <c r="I586" s="74" t="s">
        <v>2062</v>
      </c>
      <c r="J586" s="74" t="s">
        <v>1463</v>
      </c>
      <c r="K586" s="73">
        <v>6.0</v>
      </c>
      <c r="L586" s="73">
        <v>2.0</v>
      </c>
      <c r="M586" s="73"/>
      <c r="N586" s="75">
        <v>0.3993055555555556</v>
      </c>
      <c r="O586" s="76" t="s">
        <v>729</v>
      </c>
      <c r="P586" s="75">
        <v>0.4513888888888889</v>
      </c>
      <c r="Q586" s="75"/>
      <c r="S586" s="75"/>
      <c r="T586" s="76" t="s">
        <v>364</v>
      </c>
      <c r="U586" s="74" t="s">
        <v>2118</v>
      </c>
      <c r="V586" s="74" t="s">
        <v>376</v>
      </c>
      <c r="W586" s="74"/>
      <c r="Y586" s="74"/>
      <c r="Z586" s="74"/>
      <c r="AA586" s="74"/>
      <c r="AB586" s="74"/>
      <c r="AC586" s="74"/>
      <c r="AD586" s="74"/>
      <c r="AE586" s="74"/>
      <c r="AF586" s="74"/>
      <c r="AG586" s="74"/>
    </row>
    <row r="587">
      <c r="A587" s="73">
        <v>2023.0</v>
      </c>
      <c r="B587" s="73" t="s">
        <v>1446</v>
      </c>
      <c r="C587" s="73">
        <v>21.0</v>
      </c>
      <c r="D587" s="74" t="s">
        <v>19</v>
      </c>
      <c r="E587" s="74" t="s">
        <v>50</v>
      </c>
      <c r="F587" s="73">
        <v>326.0</v>
      </c>
      <c r="G587" s="74" t="s">
        <v>154</v>
      </c>
      <c r="H587" s="74" t="s">
        <v>2061</v>
      </c>
      <c r="I587" s="74" t="s">
        <v>2062</v>
      </c>
      <c r="J587" s="74" t="s">
        <v>1463</v>
      </c>
      <c r="K587" s="73">
        <v>6.0</v>
      </c>
      <c r="L587" s="73">
        <v>3.0</v>
      </c>
      <c r="M587" s="73"/>
      <c r="N587" s="75">
        <v>0.4513888888888889</v>
      </c>
      <c r="O587" s="76" t="s">
        <v>364</v>
      </c>
      <c r="P587" s="75">
        <v>0.5083333333333333</v>
      </c>
      <c r="Q587" s="75"/>
      <c r="S587" s="75"/>
      <c r="T587" s="76" t="s">
        <v>1573</v>
      </c>
      <c r="U587" s="74" t="s">
        <v>1526</v>
      </c>
      <c r="V587" s="74" t="s">
        <v>422</v>
      </c>
      <c r="W587" s="74"/>
      <c r="Y587" s="74"/>
      <c r="Z587" s="74"/>
      <c r="AA587" s="74"/>
      <c r="AB587" s="74"/>
      <c r="AC587" s="74"/>
      <c r="AD587" s="74"/>
      <c r="AE587" s="74"/>
      <c r="AF587" s="74"/>
      <c r="AG587" s="74"/>
    </row>
    <row r="588">
      <c r="A588" s="73">
        <v>2023.0</v>
      </c>
      <c r="B588" s="73" t="s">
        <v>1446</v>
      </c>
      <c r="C588" s="73">
        <v>21.0</v>
      </c>
      <c r="D588" s="74" t="s">
        <v>19</v>
      </c>
      <c r="E588" s="74" t="s">
        <v>50</v>
      </c>
      <c r="F588" s="73">
        <v>326.0</v>
      </c>
      <c r="G588" s="74" t="s">
        <v>154</v>
      </c>
      <c r="H588" s="74" t="s">
        <v>2061</v>
      </c>
      <c r="I588" s="74" t="s">
        <v>2062</v>
      </c>
      <c r="J588" s="74" t="s">
        <v>1463</v>
      </c>
      <c r="K588" s="73">
        <v>6.0</v>
      </c>
      <c r="L588" s="73">
        <v>4.0</v>
      </c>
      <c r="M588" s="73"/>
      <c r="N588" s="75">
        <v>0.5083333333333333</v>
      </c>
      <c r="O588" s="76" t="s">
        <v>1573</v>
      </c>
      <c r="P588" s="75">
        <v>0.5166666666666667</v>
      </c>
      <c r="Q588" s="75"/>
      <c r="S588" s="75"/>
      <c r="T588" s="76" t="s">
        <v>2120</v>
      </c>
      <c r="U588" s="74" t="s">
        <v>1534</v>
      </c>
      <c r="V588" s="74" t="s">
        <v>1604</v>
      </c>
      <c r="W588" s="74"/>
      <c r="Y588" s="74"/>
      <c r="Z588" s="74"/>
      <c r="AA588" s="74"/>
      <c r="AB588" s="74"/>
      <c r="AC588" s="74"/>
      <c r="AD588" s="74"/>
      <c r="AE588" s="74"/>
      <c r="AF588" s="74"/>
      <c r="AG588" s="74"/>
    </row>
    <row r="589">
      <c r="A589" s="73">
        <v>2023.0</v>
      </c>
      <c r="B589" s="73" t="s">
        <v>1446</v>
      </c>
      <c r="C589" s="73">
        <v>21.0</v>
      </c>
      <c r="D589" s="74" t="s">
        <v>19</v>
      </c>
      <c r="E589" s="74" t="s">
        <v>50</v>
      </c>
      <c r="F589" s="73">
        <v>269.0</v>
      </c>
      <c r="G589" s="74" t="s">
        <v>154</v>
      </c>
      <c r="H589" s="74" t="s">
        <v>2121</v>
      </c>
      <c r="I589" s="74" t="s">
        <v>2122</v>
      </c>
      <c r="J589" s="74" t="s">
        <v>2123</v>
      </c>
      <c r="K589" s="73">
        <v>7.0</v>
      </c>
      <c r="L589" s="73">
        <v>1.0</v>
      </c>
      <c r="M589" s="73"/>
      <c r="N589" s="75">
        <v>0.3520833333333333</v>
      </c>
      <c r="O589" s="76" t="s">
        <v>1723</v>
      </c>
      <c r="P589" s="75">
        <v>0.40069444444444446</v>
      </c>
      <c r="Q589" s="75"/>
      <c r="S589" s="75"/>
      <c r="T589" s="76" t="s">
        <v>556</v>
      </c>
      <c r="U589" s="74" t="s">
        <v>2124</v>
      </c>
      <c r="V589" s="74" t="s">
        <v>376</v>
      </c>
      <c r="W589" s="74"/>
      <c r="Y589" s="74"/>
      <c r="Z589" s="74"/>
      <c r="AA589" s="74"/>
      <c r="AB589" s="74"/>
      <c r="AC589" s="74"/>
      <c r="AD589" s="74"/>
      <c r="AE589" s="74"/>
      <c r="AF589" s="74"/>
      <c r="AG589" s="74"/>
    </row>
    <row r="590">
      <c r="A590" s="73">
        <v>2023.0</v>
      </c>
      <c r="B590" s="73" t="s">
        <v>1446</v>
      </c>
      <c r="C590" s="73">
        <v>21.0</v>
      </c>
      <c r="D590" s="74" t="s">
        <v>19</v>
      </c>
      <c r="E590" s="74" t="s">
        <v>50</v>
      </c>
      <c r="F590" s="73">
        <v>269.0</v>
      </c>
      <c r="G590" s="74" t="s">
        <v>154</v>
      </c>
      <c r="H590" s="74" t="s">
        <v>2121</v>
      </c>
      <c r="I590" s="74" t="s">
        <v>2122</v>
      </c>
      <c r="J590" s="74" t="s">
        <v>2123</v>
      </c>
      <c r="K590" s="73">
        <v>7.0</v>
      </c>
      <c r="L590" s="73">
        <v>2.0</v>
      </c>
      <c r="M590" s="73"/>
      <c r="N590" s="75">
        <v>0.40069444444444446</v>
      </c>
      <c r="O590" s="76" t="s">
        <v>556</v>
      </c>
      <c r="P590" s="75">
        <v>0.4534722222222222</v>
      </c>
      <c r="Q590" s="75"/>
      <c r="S590" s="75"/>
      <c r="T590" s="76" t="s">
        <v>784</v>
      </c>
      <c r="U590" s="74" t="s">
        <v>2124</v>
      </c>
      <c r="V590" s="74" t="s">
        <v>376</v>
      </c>
      <c r="W590" s="74"/>
      <c r="Y590" s="74"/>
      <c r="Z590" s="74"/>
      <c r="AA590" s="74"/>
      <c r="AB590" s="74"/>
      <c r="AC590" s="74"/>
      <c r="AD590" s="74"/>
      <c r="AE590" s="74"/>
      <c r="AF590" s="74"/>
      <c r="AG590" s="74"/>
    </row>
    <row r="591">
      <c r="A591" s="73">
        <v>2023.0</v>
      </c>
      <c r="B591" s="73" t="s">
        <v>1446</v>
      </c>
      <c r="C591" s="73">
        <v>21.0</v>
      </c>
      <c r="D591" s="74" t="s">
        <v>19</v>
      </c>
      <c r="E591" s="74" t="s">
        <v>50</v>
      </c>
      <c r="F591" s="73">
        <v>269.0</v>
      </c>
      <c r="G591" s="74" t="s">
        <v>154</v>
      </c>
      <c r="H591" s="74" t="s">
        <v>2121</v>
      </c>
      <c r="I591" s="74" t="s">
        <v>2122</v>
      </c>
      <c r="J591" s="74" t="s">
        <v>2123</v>
      </c>
      <c r="K591" s="73">
        <v>7.0</v>
      </c>
      <c r="L591" s="73">
        <v>3.0</v>
      </c>
      <c r="M591" s="73"/>
      <c r="N591" s="75">
        <v>0.4534722222222222</v>
      </c>
      <c r="O591" s="76" t="s">
        <v>784</v>
      </c>
      <c r="P591" s="75">
        <v>0.5125000000000001</v>
      </c>
      <c r="Q591" s="75"/>
      <c r="S591" s="75"/>
      <c r="T591" s="76" t="s">
        <v>1092</v>
      </c>
      <c r="U591" s="74" t="s">
        <v>1434</v>
      </c>
      <c r="V591" s="74" t="s">
        <v>422</v>
      </c>
      <c r="W591" s="74" t="s">
        <v>2125</v>
      </c>
      <c r="Y591" s="74"/>
      <c r="Z591" s="74"/>
      <c r="AA591" s="74"/>
      <c r="AB591" s="74"/>
      <c r="AC591" s="74"/>
      <c r="AD591" s="74"/>
      <c r="AE591" s="74"/>
      <c r="AF591" s="74"/>
      <c r="AG591" s="74"/>
    </row>
    <row r="592">
      <c r="A592" s="73">
        <v>2023.0</v>
      </c>
      <c r="B592" s="73" t="s">
        <v>1446</v>
      </c>
      <c r="C592" s="73">
        <v>21.0</v>
      </c>
      <c r="D592" s="74" t="s">
        <v>19</v>
      </c>
      <c r="E592" s="74" t="s">
        <v>50</v>
      </c>
      <c r="F592" s="73">
        <v>269.0</v>
      </c>
      <c r="G592" s="74" t="s">
        <v>154</v>
      </c>
      <c r="H592" s="74" t="s">
        <v>2121</v>
      </c>
      <c r="I592" s="74" t="s">
        <v>2122</v>
      </c>
      <c r="J592" s="74" t="s">
        <v>2123</v>
      </c>
      <c r="K592" s="73">
        <v>7.0</v>
      </c>
      <c r="L592" s="73">
        <v>4.0</v>
      </c>
      <c r="M592" s="73"/>
      <c r="N592" s="75">
        <v>0.5125000000000001</v>
      </c>
      <c r="O592" s="76" t="s">
        <v>1092</v>
      </c>
      <c r="P592" s="75">
        <v>0.5506944444444445</v>
      </c>
      <c r="Q592" s="75"/>
      <c r="S592" s="75"/>
      <c r="T592" s="76" t="s">
        <v>2024</v>
      </c>
      <c r="U592" s="74" t="s">
        <v>287</v>
      </c>
      <c r="V592" s="74" t="s">
        <v>376</v>
      </c>
      <c r="W592" s="74"/>
      <c r="Y592" s="74"/>
      <c r="Z592" s="74"/>
      <c r="AA592" s="74"/>
      <c r="AB592" s="74"/>
      <c r="AC592" s="74"/>
      <c r="AD592" s="74"/>
      <c r="AE592" s="74"/>
      <c r="AF592" s="74"/>
      <c r="AG592" s="74"/>
    </row>
    <row r="593">
      <c r="A593" s="73">
        <v>2023.0</v>
      </c>
      <c r="B593" s="73" t="s">
        <v>1446</v>
      </c>
      <c r="C593" s="73">
        <v>21.0</v>
      </c>
      <c r="D593" s="74" t="s">
        <v>19</v>
      </c>
      <c r="E593" s="74" t="s">
        <v>50</v>
      </c>
      <c r="F593" s="73">
        <v>269.0</v>
      </c>
      <c r="G593" s="74" t="s">
        <v>154</v>
      </c>
      <c r="H593" s="74" t="s">
        <v>2121</v>
      </c>
      <c r="I593" s="74" t="s">
        <v>2122</v>
      </c>
      <c r="J593" s="74" t="s">
        <v>2123</v>
      </c>
      <c r="K593" s="73">
        <v>7.0</v>
      </c>
      <c r="L593" s="73">
        <v>5.0</v>
      </c>
      <c r="M593" s="73"/>
      <c r="N593" s="75">
        <v>0.5506944444444445</v>
      </c>
      <c r="O593" s="76" t="s">
        <v>2024</v>
      </c>
      <c r="P593" s="75">
        <v>0.5868055555555556</v>
      </c>
      <c r="Q593" s="75"/>
      <c r="S593" s="75"/>
      <c r="T593" s="76" t="s">
        <v>2029</v>
      </c>
      <c r="U593" s="74" t="s">
        <v>287</v>
      </c>
      <c r="V593" s="74" t="s">
        <v>376</v>
      </c>
      <c r="W593" s="74"/>
      <c r="Y593" s="74"/>
      <c r="Z593" s="74"/>
      <c r="AA593" s="74"/>
      <c r="AB593" s="74"/>
      <c r="AC593" s="74"/>
      <c r="AD593" s="74"/>
      <c r="AE593" s="74"/>
      <c r="AF593" s="74"/>
      <c r="AG593" s="74"/>
    </row>
    <row r="594">
      <c r="A594" s="73">
        <v>2023.0</v>
      </c>
      <c r="B594" s="73" t="s">
        <v>1446</v>
      </c>
      <c r="C594" s="73">
        <v>21.0</v>
      </c>
      <c r="D594" s="74" t="s">
        <v>19</v>
      </c>
      <c r="E594" s="74" t="s">
        <v>50</v>
      </c>
      <c r="F594" s="73">
        <v>269.0</v>
      </c>
      <c r="G594" s="74" t="s">
        <v>154</v>
      </c>
      <c r="H594" s="74" t="s">
        <v>2121</v>
      </c>
      <c r="I594" s="74" t="s">
        <v>2122</v>
      </c>
      <c r="J594" s="74" t="s">
        <v>2123</v>
      </c>
      <c r="K594" s="73">
        <v>7.0</v>
      </c>
      <c r="L594" s="73">
        <v>6.0</v>
      </c>
      <c r="M594" s="73"/>
      <c r="N594" s="75">
        <v>0.5868055555555556</v>
      </c>
      <c r="O594" s="76" t="s">
        <v>2029</v>
      </c>
      <c r="P594" s="75">
        <v>0.6451388888888888</v>
      </c>
      <c r="Q594" s="75"/>
      <c r="S594" s="75"/>
      <c r="T594" s="76" t="s">
        <v>2074</v>
      </c>
      <c r="U594" s="74" t="s">
        <v>1434</v>
      </c>
      <c r="V594" s="74" t="s">
        <v>376</v>
      </c>
      <c r="W594" s="74"/>
      <c r="Y594" s="74"/>
      <c r="Z594" s="74"/>
      <c r="AA594" s="74"/>
      <c r="AB594" s="74"/>
      <c r="AC594" s="74"/>
      <c r="AD594" s="74"/>
      <c r="AE594" s="74"/>
      <c r="AF594" s="74"/>
      <c r="AG594" s="74"/>
    </row>
    <row r="595">
      <c r="A595" s="73">
        <v>2023.0</v>
      </c>
      <c r="B595" s="73" t="s">
        <v>1446</v>
      </c>
      <c r="C595" s="73">
        <v>21.0</v>
      </c>
      <c r="D595" s="74" t="s">
        <v>19</v>
      </c>
      <c r="E595" s="74" t="s">
        <v>50</v>
      </c>
      <c r="F595" s="73">
        <v>270.0</v>
      </c>
      <c r="G595" s="74" t="s">
        <v>154</v>
      </c>
      <c r="H595" s="74" t="s">
        <v>2126</v>
      </c>
      <c r="I595" s="74" t="s">
        <v>2127</v>
      </c>
      <c r="J595" s="74" t="s">
        <v>2078</v>
      </c>
      <c r="K595" s="73">
        <v>8.0</v>
      </c>
      <c r="L595" s="73">
        <v>1.0</v>
      </c>
      <c r="M595" s="73"/>
      <c r="N595" s="75">
        <v>0.35625</v>
      </c>
      <c r="O595" s="76" t="s">
        <v>2128</v>
      </c>
      <c r="P595" s="75">
        <v>0.40138888888888885</v>
      </c>
      <c r="Q595" s="75"/>
      <c r="S595" s="75"/>
      <c r="T595" s="76" t="s">
        <v>1653</v>
      </c>
      <c r="U595" s="74" t="s">
        <v>1429</v>
      </c>
      <c r="V595" s="74" t="s">
        <v>376</v>
      </c>
      <c r="W595" s="74"/>
      <c r="Y595" s="74"/>
      <c r="Z595" s="74"/>
      <c r="AA595" s="74"/>
      <c r="AB595" s="74"/>
      <c r="AC595" s="74"/>
      <c r="AD595" s="74"/>
      <c r="AE595" s="74"/>
      <c r="AF595" s="74"/>
      <c r="AG595" s="74"/>
    </row>
    <row r="596">
      <c r="A596" s="73">
        <v>2023.0</v>
      </c>
      <c r="B596" s="73" t="s">
        <v>1446</v>
      </c>
      <c r="C596" s="73">
        <v>21.0</v>
      </c>
      <c r="D596" s="74" t="s">
        <v>19</v>
      </c>
      <c r="E596" s="74" t="s">
        <v>50</v>
      </c>
      <c r="F596" s="73">
        <v>270.0</v>
      </c>
      <c r="G596" s="74" t="s">
        <v>154</v>
      </c>
      <c r="H596" s="74" t="s">
        <v>2126</v>
      </c>
      <c r="I596" s="74" t="s">
        <v>2127</v>
      </c>
      <c r="J596" s="74" t="s">
        <v>2078</v>
      </c>
      <c r="K596" s="73">
        <v>8.0</v>
      </c>
      <c r="L596" s="73">
        <v>2.0</v>
      </c>
      <c r="M596" s="73"/>
      <c r="N596" s="75">
        <v>0.40138888888888885</v>
      </c>
      <c r="O596" s="76" t="s">
        <v>1653</v>
      </c>
      <c r="P596" s="75">
        <v>0.4548611111111111</v>
      </c>
      <c r="Q596" s="75"/>
      <c r="S596" s="75"/>
      <c r="T596" s="76" t="s">
        <v>377</v>
      </c>
      <c r="U596" s="74" t="s">
        <v>1429</v>
      </c>
      <c r="V596" s="74" t="s">
        <v>422</v>
      </c>
      <c r="W596" s="74" t="s">
        <v>2009</v>
      </c>
      <c r="Y596" s="74"/>
      <c r="Z596" s="74"/>
      <c r="AA596" s="74"/>
      <c r="AB596" s="74"/>
      <c r="AC596" s="74"/>
      <c r="AD596" s="74"/>
      <c r="AE596" s="74"/>
      <c r="AF596" s="74"/>
      <c r="AG596" s="74"/>
    </row>
    <row r="597">
      <c r="A597" s="73">
        <v>2023.0</v>
      </c>
      <c r="B597" s="73" t="s">
        <v>1446</v>
      </c>
      <c r="C597" s="73">
        <v>21.0</v>
      </c>
      <c r="D597" s="74" t="s">
        <v>19</v>
      </c>
      <c r="E597" s="74" t="s">
        <v>50</v>
      </c>
      <c r="F597" s="73">
        <v>270.0</v>
      </c>
      <c r="G597" s="74" t="s">
        <v>154</v>
      </c>
      <c r="H597" s="74" t="s">
        <v>2126</v>
      </c>
      <c r="I597" s="74" t="s">
        <v>2127</v>
      </c>
      <c r="J597" s="74" t="s">
        <v>2078</v>
      </c>
      <c r="K597" s="73">
        <v>8.0</v>
      </c>
      <c r="L597" s="73">
        <v>3.0</v>
      </c>
      <c r="M597" s="73"/>
      <c r="N597" s="75">
        <v>0.4548611111111111</v>
      </c>
      <c r="O597" s="76" t="s">
        <v>377</v>
      </c>
      <c r="P597" s="75">
        <v>0.5520833333333334</v>
      </c>
      <c r="Q597" s="75"/>
      <c r="S597" s="75"/>
      <c r="T597" s="76" t="s">
        <v>1772</v>
      </c>
      <c r="U597" s="74" t="s">
        <v>1434</v>
      </c>
      <c r="V597" s="74" t="s">
        <v>422</v>
      </c>
      <c r="W597" s="74" t="s">
        <v>2129</v>
      </c>
      <c r="Y597" s="74"/>
      <c r="Z597" s="74"/>
      <c r="AA597" s="74"/>
      <c r="AB597" s="74"/>
      <c r="AC597" s="74"/>
      <c r="AD597" s="74"/>
      <c r="AE597" s="74"/>
      <c r="AF597" s="74"/>
      <c r="AG597" s="74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</row>
    <row r="1021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</row>
    <row r="102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</row>
    <row r="1023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</row>
    <row r="1024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</row>
    <row r="1025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</row>
    <row r="1026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</row>
    <row r="1027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</row>
    <row r="1028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</row>
    <row r="1029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</row>
    <row r="1030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</row>
    <row r="1031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</row>
    <row r="103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</row>
    <row r="1033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</row>
    <row r="1034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</row>
    <row r="1035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</row>
    <row r="1036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</row>
    <row r="1037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</row>
    <row r="1038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</row>
    <row r="1039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</row>
    <row r="1040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</row>
    <row r="1041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</row>
    <row r="104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</row>
    <row r="1043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</row>
    <row r="1044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</row>
    <row r="1045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</row>
    <row r="1046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</row>
    <row r="1047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</row>
    <row r="1048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</row>
    <row r="1049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</row>
    <row r="1050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</row>
    <row r="1051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</row>
    <row r="105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</row>
    <row r="1053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</row>
    <row r="1054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</row>
    <row r="1055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</row>
    <row r="1056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</row>
    <row r="1057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</row>
    <row r="1058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</row>
    <row r="1059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</row>
    <row r="1060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</row>
    <row r="1061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</row>
    <row r="106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</row>
    <row r="1063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</row>
    <row r="1064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</row>
    <row r="1065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</row>
    <row r="1066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</row>
    <row r="1067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</row>
    <row r="1068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</row>
    <row r="1069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</row>
    <row r="1070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</row>
    <row r="1071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</row>
    <row r="107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</row>
    <row r="1073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</row>
    <row r="1074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</row>
    <row r="1075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</row>
    <row r="1076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</row>
    <row r="1077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</row>
    <row r="1078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</row>
    <row r="1079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</row>
    <row r="1080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</row>
    <row r="1081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</row>
    <row r="108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</row>
    <row r="1083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</row>
    <row r="1084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</row>
    <row r="1085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</row>
    <row r="1086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</row>
    <row r="1087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</row>
    <row r="1088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</row>
    <row r="1089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</row>
    <row r="1090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</row>
    <row r="1091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</row>
    <row r="109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</row>
    <row r="1093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</row>
    <row r="1094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</row>
    <row r="1095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</row>
    <row r="1096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</row>
    <row r="1097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</row>
    <row r="1098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</row>
    <row r="1099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</row>
    <row r="1100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</row>
    <row r="1101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</row>
    <row r="110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</row>
    <row r="1103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</row>
    <row r="1104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</row>
    <row r="1105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</row>
    <row r="1106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</row>
    <row r="1107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</row>
    <row r="1108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</row>
    <row r="1109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</row>
    <row r="1110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</row>
    <row r="1111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</row>
    <row r="11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</row>
    <row r="1113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</row>
    <row r="1114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</row>
    <row r="1115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</row>
    <row r="1116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</row>
    <row r="1117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</row>
    <row r="1118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</row>
    <row r="1119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</row>
    <row r="1120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</row>
    <row r="1121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</row>
    <row r="112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</row>
    <row r="1123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</row>
    <row r="1124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</row>
    <row r="1125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</row>
    <row r="1126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</row>
    <row r="1127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</row>
    <row r="1128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</row>
    <row r="1129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</row>
    <row r="1130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</row>
    <row r="1131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</row>
    <row r="113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</row>
    <row r="1133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</row>
    <row r="1134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</row>
    <row r="1135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</row>
    <row r="1136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</row>
    <row r="1137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</row>
    <row r="1138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</row>
    <row r="1139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</row>
    <row r="1140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</row>
    <row r="1141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</row>
    <row r="114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</row>
    <row r="1143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</row>
    <row r="1144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</row>
    <row r="1145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</row>
    <row r="1146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</row>
    <row r="1147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2" t="s">
        <v>30</v>
      </c>
      <c r="B1" s="2" t="s">
        <v>37</v>
      </c>
      <c r="C1" s="2" t="s">
        <v>344</v>
      </c>
      <c r="D1" s="2" t="s">
        <v>62</v>
      </c>
      <c r="E1" s="2" t="s">
        <v>67</v>
      </c>
      <c r="F1" s="2" t="s">
        <v>43</v>
      </c>
      <c r="G1" s="2" t="s">
        <v>48</v>
      </c>
      <c r="H1" s="2" t="s">
        <v>349</v>
      </c>
      <c r="I1" s="2" t="s">
        <v>350</v>
      </c>
      <c r="J1" s="2" t="s">
        <v>351</v>
      </c>
      <c r="K1" s="2" t="s">
        <v>98</v>
      </c>
      <c r="L1" s="2" t="s">
        <v>352</v>
      </c>
      <c r="M1" s="2" t="s">
        <v>80</v>
      </c>
      <c r="N1" s="2" t="s">
        <v>354</v>
      </c>
      <c r="O1" s="2" t="s">
        <v>355</v>
      </c>
      <c r="P1" s="2" t="s">
        <v>358</v>
      </c>
      <c r="Q1" s="2" t="s">
        <v>360</v>
      </c>
      <c r="R1" s="2" t="s">
        <v>361</v>
      </c>
      <c r="S1" s="2" t="s">
        <v>362</v>
      </c>
      <c r="T1" s="2" t="s">
        <v>125</v>
      </c>
      <c r="U1" s="2"/>
      <c r="V1" s="2"/>
      <c r="W1" s="2"/>
      <c r="X1" s="2"/>
      <c r="Y1" s="2"/>
      <c r="Z1" s="2"/>
    </row>
    <row r="2">
      <c r="A2" s="8">
        <v>2021.0</v>
      </c>
      <c r="B2" s="8">
        <v>8.0</v>
      </c>
      <c r="C2" s="8">
        <v>1.0</v>
      </c>
      <c r="D2" s="2" t="s">
        <v>369</v>
      </c>
      <c r="E2" s="2" t="s">
        <v>370</v>
      </c>
      <c r="F2" s="2" t="s">
        <v>19</v>
      </c>
      <c r="G2" s="2" t="s">
        <v>50</v>
      </c>
      <c r="H2" s="8">
        <v>1.0</v>
      </c>
      <c r="I2" s="8">
        <v>76.0</v>
      </c>
      <c r="J2" s="2" t="s">
        <v>373</v>
      </c>
      <c r="K2" s="2" t="s">
        <v>375</v>
      </c>
      <c r="L2" s="2" t="s">
        <v>376</v>
      </c>
      <c r="M2" s="34">
        <v>0.34444444444444444</v>
      </c>
      <c r="N2" s="34">
        <v>0.475</v>
      </c>
      <c r="O2" s="8">
        <v>12.0</v>
      </c>
      <c r="P2" s="8">
        <v>1.0</v>
      </c>
      <c r="Q2" s="2" t="s">
        <v>381</v>
      </c>
      <c r="R2" s="35">
        <v>0.2</v>
      </c>
      <c r="S2" s="2" t="s">
        <v>384</v>
      </c>
      <c r="T2" s="2"/>
      <c r="U2" s="2"/>
      <c r="V2" s="2"/>
      <c r="W2" s="2"/>
      <c r="X2" s="2"/>
      <c r="Y2" s="2"/>
      <c r="Z2" s="2"/>
    </row>
    <row r="3">
      <c r="A3" s="8">
        <v>2021.0</v>
      </c>
      <c r="B3" s="8">
        <v>8.0</v>
      </c>
      <c r="C3" s="8">
        <v>1.0</v>
      </c>
      <c r="D3" s="2" t="s">
        <v>388</v>
      </c>
      <c r="E3" s="2" t="s">
        <v>389</v>
      </c>
      <c r="F3" s="2" t="s">
        <v>19</v>
      </c>
      <c r="G3" s="2" t="s">
        <v>50</v>
      </c>
      <c r="H3" s="8">
        <v>2.0</v>
      </c>
      <c r="I3" s="8">
        <v>76.0</v>
      </c>
      <c r="J3" s="2" t="s">
        <v>390</v>
      </c>
      <c r="K3" s="2" t="s">
        <v>375</v>
      </c>
      <c r="L3" s="2"/>
      <c r="M3" s="34">
        <v>0.5944444444444444</v>
      </c>
      <c r="N3" s="34">
        <v>0.6458333333333334</v>
      </c>
      <c r="O3" s="8">
        <v>12.0</v>
      </c>
      <c r="P3" s="8">
        <v>1.0</v>
      </c>
      <c r="Q3" s="8">
        <v>1.0</v>
      </c>
      <c r="R3" s="35">
        <v>0.1</v>
      </c>
      <c r="S3" s="2" t="s">
        <v>393</v>
      </c>
      <c r="T3" s="2"/>
      <c r="U3" s="2"/>
      <c r="V3" s="2"/>
      <c r="W3" s="2"/>
      <c r="X3" s="2"/>
      <c r="Y3" s="2"/>
      <c r="Z3" s="2"/>
    </row>
    <row r="4">
      <c r="A4" s="8">
        <v>2021.0</v>
      </c>
      <c r="B4" s="8">
        <v>8.0</v>
      </c>
      <c r="C4" s="8">
        <v>2.0</v>
      </c>
      <c r="D4" s="2" t="s">
        <v>395</v>
      </c>
      <c r="E4" s="2" t="s">
        <v>397</v>
      </c>
      <c r="F4" s="2" t="s">
        <v>19</v>
      </c>
      <c r="G4" s="2" t="s">
        <v>50</v>
      </c>
      <c r="H4" s="8">
        <v>1.0</v>
      </c>
      <c r="I4" s="8">
        <v>62.0</v>
      </c>
      <c r="J4" s="2" t="s">
        <v>390</v>
      </c>
      <c r="K4" s="2" t="s">
        <v>399</v>
      </c>
      <c r="L4" s="2" t="s">
        <v>376</v>
      </c>
      <c r="M4" s="34">
        <v>0.3236111111111111</v>
      </c>
      <c r="N4" s="34">
        <v>0.3729166666666667</v>
      </c>
      <c r="O4" s="8">
        <v>12.0</v>
      </c>
      <c r="P4" s="8">
        <v>1.0</v>
      </c>
      <c r="Q4" s="8">
        <v>1.0</v>
      </c>
      <c r="R4" s="35">
        <v>0.1</v>
      </c>
      <c r="S4" s="2" t="s">
        <v>401</v>
      </c>
      <c r="T4" s="2"/>
      <c r="U4" s="2"/>
      <c r="V4" s="2"/>
      <c r="W4" s="2"/>
      <c r="X4" s="2"/>
      <c r="Y4" s="2"/>
      <c r="Z4" s="2"/>
    </row>
    <row r="5">
      <c r="A5" s="8">
        <v>2021.0</v>
      </c>
      <c r="B5" s="8">
        <v>8.0</v>
      </c>
      <c r="C5" s="8">
        <v>2.0</v>
      </c>
      <c r="D5" s="2" t="s">
        <v>404</v>
      </c>
      <c r="E5" s="2" t="s">
        <v>407</v>
      </c>
      <c r="F5" s="2" t="s">
        <v>19</v>
      </c>
      <c r="G5" s="2" t="s">
        <v>50</v>
      </c>
      <c r="H5" s="8">
        <v>1.0</v>
      </c>
      <c r="I5" s="8">
        <v>60.0</v>
      </c>
      <c r="J5" s="2" t="s">
        <v>409</v>
      </c>
      <c r="K5" s="2" t="s">
        <v>399</v>
      </c>
      <c r="L5" s="2" t="s">
        <v>411</v>
      </c>
      <c r="M5" s="34">
        <v>0.3423611111111111</v>
      </c>
      <c r="N5" s="34">
        <v>0.47430555555555554</v>
      </c>
      <c r="O5" s="8">
        <v>12.0</v>
      </c>
      <c r="P5" s="8">
        <v>1.0</v>
      </c>
      <c r="Q5" s="8">
        <v>1.0</v>
      </c>
      <c r="R5" s="35">
        <v>0.1</v>
      </c>
      <c r="S5" s="2" t="s">
        <v>401</v>
      </c>
      <c r="T5" s="2" t="s">
        <v>413</v>
      </c>
      <c r="U5" s="2"/>
      <c r="V5" s="2"/>
      <c r="W5" s="2"/>
      <c r="X5" s="2"/>
      <c r="Y5" s="2"/>
      <c r="Z5" s="2"/>
    </row>
    <row r="6">
      <c r="A6" s="8">
        <v>2021.0</v>
      </c>
      <c r="B6" s="8">
        <v>8.0</v>
      </c>
      <c r="C6" s="8">
        <v>2.0</v>
      </c>
      <c r="D6" s="2" t="s">
        <v>415</v>
      </c>
      <c r="E6" s="2" t="s">
        <v>416</v>
      </c>
      <c r="F6" s="2" t="s">
        <v>19</v>
      </c>
      <c r="G6" s="2" t="s">
        <v>50</v>
      </c>
      <c r="H6" s="8">
        <v>2.0</v>
      </c>
      <c r="I6" s="8">
        <v>89.0</v>
      </c>
      <c r="J6" s="2" t="s">
        <v>390</v>
      </c>
      <c r="K6" s="2" t="s">
        <v>399</v>
      </c>
      <c r="L6" s="2" t="s">
        <v>376</v>
      </c>
      <c r="M6" s="34">
        <v>0.375</v>
      </c>
      <c r="N6" s="34">
        <v>0.6055555555555555</v>
      </c>
      <c r="O6" s="8">
        <v>10.0</v>
      </c>
      <c r="P6" s="8">
        <v>1.5</v>
      </c>
      <c r="Q6" s="8">
        <v>1.0</v>
      </c>
      <c r="R6" s="35">
        <v>0.15</v>
      </c>
      <c r="S6" s="2" t="s">
        <v>401</v>
      </c>
      <c r="T6" s="2"/>
      <c r="U6" s="2"/>
      <c r="V6" s="2"/>
      <c r="W6" s="2"/>
      <c r="X6" s="2"/>
      <c r="Y6" s="2"/>
      <c r="Z6" s="2"/>
    </row>
    <row r="7">
      <c r="A7" s="8">
        <v>2021.0</v>
      </c>
      <c r="B7" s="8">
        <v>8.0</v>
      </c>
      <c r="C7" s="8">
        <v>2.0</v>
      </c>
      <c r="D7" s="2" t="s">
        <v>420</v>
      </c>
      <c r="E7" s="2" t="s">
        <v>421</v>
      </c>
      <c r="F7" s="2" t="s">
        <v>19</v>
      </c>
      <c r="G7" s="2" t="s">
        <v>50</v>
      </c>
      <c r="H7" s="8">
        <v>2.0</v>
      </c>
      <c r="I7" s="8">
        <v>55.0</v>
      </c>
      <c r="J7" s="2" t="s">
        <v>409</v>
      </c>
      <c r="K7" s="2" t="s">
        <v>287</v>
      </c>
      <c r="L7" s="2" t="s">
        <v>422</v>
      </c>
      <c r="M7" s="34">
        <v>0.47638888888888886</v>
      </c>
      <c r="N7" s="34">
        <v>0.6194444444444445</v>
      </c>
      <c r="O7" s="8">
        <v>10.0</v>
      </c>
      <c r="P7" s="8">
        <v>1.0</v>
      </c>
      <c r="Q7" s="8">
        <v>1.0</v>
      </c>
      <c r="R7" s="35">
        <v>0.05</v>
      </c>
      <c r="S7" s="2" t="s">
        <v>401</v>
      </c>
      <c r="T7" s="2"/>
      <c r="U7" s="2"/>
      <c r="V7" s="2"/>
      <c r="W7" s="2"/>
      <c r="X7" s="2"/>
      <c r="Y7" s="2"/>
      <c r="Z7" s="2"/>
    </row>
    <row r="8">
      <c r="A8" s="8">
        <v>2021.0</v>
      </c>
      <c r="B8" s="8">
        <v>8.0</v>
      </c>
      <c r="C8" s="8">
        <v>2.0</v>
      </c>
      <c r="D8" s="2" t="s">
        <v>424</v>
      </c>
      <c r="E8" s="2" t="s">
        <v>425</v>
      </c>
      <c r="F8" s="2" t="s">
        <v>19</v>
      </c>
      <c r="G8" s="2" t="s">
        <v>50</v>
      </c>
      <c r="H8" s="8">
        <v>3.0</v>
      </c>
      <c r="I8" s="8">
        <v>67.0</v>
      </c>
      <c r="J8" s="2" t="s">
        <v>409</v>
      </c>
      <c r="K8" s="2" t="s">
        <v>267</v>
      </c>
      <c r="L8" s="2" t="s">
        <v>376</v>
      </c>
      <c r="M8" s="34">
        <v>0.6243055555555556</v>
      </c>
      <c r="N8" s="34">
        <v>0.6770833333333334</v>
      </c>
      <c r="O8" s="8">
        <v>10.0</v>
      </c>
      <c r="P8" s="8">
        <v>1.2</v>
      </c>
      <c r="Q8" s="8">
        <v>1.0</v>
      </c>
      <c r="R8" s="35">
        <v>0.2</v>
      </c>
      <c r="S8" s="2" t="s">
        <v>393</v>
      </c>
      <c r="T8" s="2"/>
      <c r="U8" s="2"/>
      <c r="V8" s="2"/>
      <c r="W8" s="2"/>
      <c r="X8" s="2"/>
      <c r="Y8" s="2"/>
      <c r="Z8" s="2"/>
    </row>
    <row r="9">
      <c r="A9" s="8">
        <v>2021.0</v>
      </c>
      <c r="B9" s="8">
        <v>8.0</v>
      </c>
      <c r="C9" s="8">
        <v>3.0</v>
      </c>
      <c r="D9" s="2" t="s">
        <v>427</v>
      </c>
      <c r="E9" s="2" t="s">
        <v>428</v>
      </c>
      <c r="F9" s="2" t="s">
        <v>19</v>
      </c>
      <c r="G9" s="2" t="s">
        <v>68</v>
      </c>
      <c r="H9" s="8">
        <v>1.0</v>
      </c>
      <c r="I9" s="8">
        <v>44.0</v>
      </c>
      <c r="J9" s="2" t="s">
        <v>390</v>
      </c>
      <c r="K9" s="2" t="s">
        <v>429</v>
      </c>
      <c r="L9" s="2" t="s">
        <v>422</v>
      </c>
      <c r="M9" s="34">
        <v>0.3416666666666667</v>
      </c>
      <c r="N9" s="34">
        <v>0.3972222222222222</v>
      </c>
      <c r="O9" s="8">
        <v>12.5</v>
      </c>
      <c r="P9" s="8">
        <v>1.0</v>
      </c>
      <c r="Q9" s="8">
        <v>1.5</v>
      </c>
      <c r="R9" s="35">
        <v>0.15</v>
      </c>
      <c r="S9" s="2" t="s">
        <v>384</v>
      </c>
      <c r="T9" s="2"/>
      <c r="U9" s="2"/>
      <c r="V9" s="2"/>
      <c r="W9" s="2"/>
      <c r="X9" s="2"/>
      <c r="Y9" s="2"/>
      <c r="Z9" s="2"/>
    </row>
    <row r="10">
      <c r="A10" s="8">
        <v>2021.0</v>
      </c>
      <c r="B10" s="8">
        <v>8.0</v>
      </c>
      <c r="C10" s="8">
        <v>3.0</v>
      </c>
      <c r="D10" s="2" t="s">
        <v>431</v>
      </c>
      <c r="E10" s="2" t="s">
        <v>432</v>
      </c>
      <c r="F10" s="2" t="s">
        <v>19</v>
      </c>
      <c r="G10" s="2" t="s">
        <v>68</v>
      </c>
      <c r="H10" s="8">
        <v>1.0</v>
      </c>
      <c r="I10" s="8">
        <v>46.0</v>
      </c>
      <c r="J10" s="2" t="s">
        <v>409</v>
      </c>
      <c r="K10" s="2" t="s">
        <v>434</v>
      </c>
      <c r="L10" s="2" t="s">
        <v>422</v>
      </c>
      <c r="M10" s="34">
        <v>0.3548611111111111</v>
      </c>
      <c r="N10" s="34">
        <v>0.46458333333333335</v>
      </c>
      <c r="O10" s="8">
        <v>12.5</v>
      </c>
      <c r="P10" s="8">
        <v>1.0</v>
      </c>
      <c r="Q10" s="8">
        <v>1.5</v>
      </c>
      <c r="R10" s="35">
        <v>0.15</v>
      </c>
      <c r="S10" s="2" t="s">
        <v>384</v>
      </c>
      <c r="T10" s="2"/>
      <c r="U10" s="2"/>
      <c r="V10" s="2"/>
      <c r="W10" s="2"/>
      <c r="X10" s="2"/>
      <c r="Y10" s="2"/>
      <c r="Z10" s="2"/>
    </row>
    <row r="11">
      <c r="A11" s="8">
        <v>2021.0</v>
      </c>
      <c r="B11" s="8">
        <v>8.0</v>
      </c>
      <c r="C11" s="8">
        <v>3.0</v>
      </c>
      <c r="D11" s="2" t="s">
        <v>437</v>
      </c>
      <c r="E11" s="2" t="s">
        <v>438</v>
      </c>
      <c r="F11" s="2" t="s">
        <v>19</v>
      </c>
      <c r="G11" s="2" t="s">
        <v>68</v>
      </c>
      <c r="H11" s="8">
        <v>2.0</v>
      </c>
      <c r="I11" s="8">
        <v>48.0</v>
      </c>
      <c r="J11" s="2" t="s">
        <v>390</v>
      </c>
      <c r="K11" s="2" t="s">
        <v>439</v>
      </c>
      <c r="L11" s="2" t="s">
        <v>422</v>
      </c>
      <c r="M11" s="34">
        <v>0.40069444444444446</v>
      </c>
      <c r="N11" s="34">
        <v>0.4847222222222222</v>
      </c>
      <c r="O11" s="8">
        <v>15.0</v>
      </c>
      <c r="P11" s="8">
        <v>1.0</v>
      </c>
      <c r="Q11" s="8">
        <v>1.5</v>
      </c>
      <c r="R11" s="35">
        <v>0.0</v>
      </c>
      <c r="S11" s="2" t="s">
        <v>384</v>
      </c>
      <c r="T11" s="2"/>
      <c r="U11" s="2"/>
      <c r="V11" s="2"/>
      <c r="W11" s="2"/>
      <c r="X11" s="2"/>
      <c r="Y11" s="2"/>
      <c r="Z11" s="2"/>
    </row>
    <row r="12">
      <c r="A12" s="8">
        <v>2021.0</v>
      </c>
      <c r="B12" s="8">
        <v>8.0</v>
      </c>
      <c r="C12" s="8">
        <v>3.0</v>
      </c>
      <c r="D12" s="2" t="s">
        <v>445</v>
      </c>
      <c r="E12" s="2" t="s">
        <v>447</v>
      </c>
      <c r="F12" s="2" t="s">
        <v>19</v>
      </c>
      <c r="G12" s="2" t="s">
        <v>68</v>
      </c>
      <c r="H12" s="8">
        <v>2.0</v>
      </c>
      <c r="I12" s="8">
        <v>45.0</v>
      </c>
      <c r="J12" s="2" t="s">
        <v>409</v>
      </c>
      <c r="K12" s="2" t="s">
        <v>449</v>
      </c>
      <c r="L12" s="2" t="s">
        <v>411</v>
      </c>
      <c r="M12" s="34">
        <v>0.4666666666666667</v>
      </c>
      <c r="N12" s="34">
        <v>0.6875</v>
      </c>
      <c r="O12" s="8">
        <v>15.0</v>
      </c>
      <c r="P12" s="8">
        <v>1.0</v>
      </c>
      <c r="Q12" s="8">
        <v>1.5</v>
      </c>
      <c r="R12" s="35">
        <v>0.0</v>
      </c>
      <c r="S12" s="2" t="s">
        <v>384</v>
      </c>
      <c r="T12" s="2"/>
      <c r="U12" s="2"/>
      <c r="V12" s="2"/>
      <c r="W12" s="2"/>
      <c r="X12" s="2"/>
      <c r="Y12" s="2"/>
      <c r="Z12" s="2"/>
    </row>
    <row r="13">
      <c r="A13" s="8">
        <v>2021.0</v>
      </c>
      <c r="B13" s="8">
        <v>8.0</v>
      </c>
      <c r="C13" s="8">
        <v>3.0</v>
      </c>
      <c r="D13" s="2" t="s">
        <v>450</v>
      </c>
      <c r="E13" s="2" t="s">
        <v>451</v>
      </c>
      <c r="F13" s="2" t="s">
        <v>19</v>
      </c>
      <c r="G13" s="2" t="s">
        <v>68</v>
      </c>
      <c r="H13" s="8">
        <v>2.0</v>
      </c>
      <c r="I13" s="8">
        <v>45.0</v>
      </c>
      <c r="J13" s="2" t="s">
        <v>390</v>
      </c>
      <c r="K13" s="2" t="s">
        <v>449</v>
      </c>
      <c r="L13" s="2" t="s">
        <v>422</v>
      </c>
      <c r="M13" s="34">
        <v>0.4875</v>
      </c>
      <c r="N13" s="34">
        <v>0.6090277777777777</v>
      </c>
      <c r="O13" s="8">
        <v>15.0</v>
      </c>
      <c r="P13" s="8">
        <v>1.0</v>
      </c>
      <c r="Q13" s="8">
        <v>1.5</v>
      </c>
      <c r="R13" s="35">
        <v>0.05</v>
      </c>
      <c r="S13" s="2" t="s">
        <v>384</v>
      </c>
      <c r="T13" s="2"/>
      <c r="U13" s="2"/>
      <c r="V13" s="2"/>
      <c r="W13" s="2"/>
      <c r="X13" s="2"/>
      <c r="Y13" s="2"/>
      <c r="Z13" s="2"/>
    </row>
    <row r="14">
      <c r="A14" s="8">
        <v>2021.0</v>
      </c>
      <c r="B14" s="8">
        <v>8.0</v>
      </c>
      <c r="C14" s="8">
        <v>4.0</v>
      </c>
      <c r="D14" s="2" t="s">
        <v>456</v>
      </c>
      <c r="E14" s="2" t="s">
        <v>458</v>
      </c>
      <c r="F14" s="2" t="s">
        <v>19</v>
      </c>
      <c r="G14" s="2" t="s">
        <v>50</v>
      </c>
      <c r="H14" s="8">
        <v>1.0</v>
      </c>
      <c r="I14" s="8">
        <v>67.0</v>
      </c>
      <c r="J14" s="2" t="s">
        <v>409</v>
      </c>
      <c r="K14" s="2" t="s">
        <v>460</v>
      </c>
      <c r="L14" s="2" t="s">
        <v>376</v>
      </c>
      <c r="M14" s="34">
        <v>0.4527777777777778</v>
      </c>
      <c r="N14" s="34">
        <v>0.5263888888888889</v>
      </c>
      <c r="O14" s="8">
        <v>16.5</v>
      </c>
      <c r="P14" s="8">
        <v>1.9</v>
      </c>
      <c r="Q14" s="8">
        <v>4.5</v>
      </c>
      <c r="R14" s="35">
        <v>0.7</v>
      </c>
      <c r="S14" s="2" t="s">
        <v>384</v>
      </c>
      <c r="T14" s="2" t="s">
        <v>462</v>
      </c>
      <c r="U14" s="2"/>
      <c r="V14" s="2"/>
      <c r="W14" s="2"/>
      <c r="X14" s="2"/>
      <c r="Y14" s="2"/>
      <c r="Z14" s="2"/>
    </row>
    <row r="15">
      <c r="A15" s="8">
        <v>2021.0</v>
      </c>
      <c r="B15" s="8">
        <v>8.0</v>
      </c>
      <c r="C15" s="8">
        <v>4.0</v>
      </c>
      <c r="D15" s="2" t="s">
        <v>465</v>
      </c>
      <c r="E15" s="2" t="s">
        <v>466</v>
      </c>
      <c r="F15" s="2" t="s">
        <v>19</v>
      </c>
      <c r="G15" s="2" t="s">
        <v>50</v>
      </c>
      <c r="H15" s="8">
        <v>1.0</v>
      </c>
      <c r="I15" s="8">
        <v>62.0</v>
      </c>
      <c r="J15" s="2" t="s">
        <v>390</v>
      </c>
      <c r="K15" s="2" t="s">
        <v>460</v>
      </c>
      <c r="L15" s="2" t="s">
        <v>376</v>
      </c>
      <c r="M15" s="34">
        <v>0.46875</v>
      </c>
      <c r="N15" s="34">
        <v>0.5548611111111111</v>
      </c>
      <c r="O15" s="8">
        <v>16.5</v>
      </c>
      <c r="P15" s="8">
        <v>1.9</v>
      </c>
      <c r="Q15" s="8">
        <v>4.5</v>
      </c>
      <c r="R15" s="35">
        <v>0.5</v>
      </c>
      <c r="S15" s="2" t="s">
        <v>384</v>
      </c>
      <c r="T15" s="2"/>
      <c r="U15" s="2"/>
      <c r="V15" s="2"/>
      <c r="W15" s="2"/>
      <c r="X15" s="2"/>
      <c r="Y15" s="2"/>
      <c r="Z15" s="2"/>
    </row>
    <row r="16">
      <c r="A16" s="8">
        <v>2021.0</v>
      </c>
      <c r="B16" s="8">
        <v>8.0</v>
      </c>
      <c r="C16" s="8">
        <v>4.0</v>
      </c>
      <c r="D16" s="2" t="s">
        <v>471</v>
      </c>
      <c r="E16" s="2" t="s">
        <v>472</v>
      </c>
      <c r="F16" s="2" t="s">
        <v>19</v>
      </c>
      <c r="G16" s="2" t="s">
        <v>50</v>
      </c>
      <c r="H16" s="8">
        <v>2.0</v>
      </c>
      <c r="I16" s="8">
        <v>66.0</v>
      </c>
      <c r="J16" s="2" t="s">
        <v>409</v>
      </c>
      <c r="K16" s="2" t="s">
        <v>460</v>
      </c>
      <c r="L16" s="2" t="s">
        <v>376</v>
      </c>
      <c r="M16" s="34">
        <v>0.5284722222222222</v>
      </c>
      <c r="N16" s="34">
        <v>0.6006944444444444</v>
      </c>
      <c r="O16" s="8">
        <v>16.5</v>
      </c>
      <c r="P16" s="8">
        <v>1.9</v>
      </c>
      <c r="Q16" s="8">
        <v>4.5</v>
      </c>
      <c r="R16" s="35">
        <v>0.4</v>
      </c>
      <c r="S16" s="2" t="s">
        <v>384</v>
      </c>
      <c r="T16" s="2"/>
      <c r="U16" s="2"/>
      <c r="V16" s="2"/>
      <c r="W16" s="2"/>
      <c r="X16" s="2"/>
      <c r="Y16" s="2"/>
      <c r="Z16" s="2"/>
    </row>
    <row r="17">
      <c r="A17" s="8">
        <v>2021.0</v>
      </c>
      <c r="B17" s="8">
        <v>8.0</v>
      </c>
      <c r="C17" s="8">
        <v>4.0</v>
      </c>
      <c r="D17" s="2" t="s">
        <v>479</v>
      </c>
      <c r="E17" s="2" t="s">
        <v>480</v>
      </c>
      <c r="F17" s="2" t="s">
        <v>19</v>
      </c>
      <c r="G17" s="2" t="s">
        <v>50</v>
      </c>
      <c r="H17" s="8">
        <v>2.0</v>
      </c>
      <c r="I17" s="8">
        <v>63.0</v>
      </c>
      <c r="J17" s="2" t="s">
        <v>390</v>
      </c>
      <c r="K17" s="2" t="s">
        <v>460</v>
      </c>
      <c r="L17" s="2" t="s">
        <v>376</v>
      </c>
      <c r="M17" s="34">
        <v>0.5576388888888889</v>
      </c>
      <c r="N17" s="34">
        <v>0.6354166666666666</v>
      </c>
      <c r="O17" s="8">
        <v>16.5</v>
      </c>
      <c r="P17" s="8">
        <v>1.9</v>
      </c>
      <c r="Q17" s="8">
        <v>6.0</v>
      </c>
      <c r="R17" s="35">
        <v>0.6</v>
      </c>
      <c r="S17" s="2" t="s">
        <v>384</v>
      </c>
      <c r="T17" s="2"/>
      <c r="U17" s="2"/>
      <c r="V17" s="2"/>
      <c r="W17" s="2"/>
      <c r="X17" s="2"/>
      <c r="Y17" s="2"/>
      <c r="Z17" s="2"/>
    </row>
    <row r="18">
      <c r="A18" s="8">
        <v>2021.0</v>
      </c>
      <c r="B18" s="8">
        <v>8.0</v>
      </c>
      <c r="C18" s="8">
        <v>5.0</v>
      </c>
      <c r="D18" s="2" t="s">
        <v>483</v>
      </c>
      <c r="E18" s="2" t="s">
        <v>484</v>
      </c>
      <c r="F18" s="2" t="s">
        <v>19</v>
      </c>
      <c r="G18" s="2" t="s">
        <v>68</v>
      </c>
      <c r="H18" s="8">
        <v>1.0</v>
      </c>
      <c r="I18" s="8">
        <v>48.0</v>
      </c>
      <c r="J18" s="2" t="s">
        <v>409</v>
      </c>
      <c r="K18" s="2" t="s">
        <v>375</v>
      </c>
      <c r="L18" s="2" t="s">
        <v>376</v>
      </c>
      <c r="M18" s="34">
        <v>0.3402777777777778</v>
      </c>
      <c r="N18" s="34">
        <v>0.39652777777777776</v>
      </c>
      <c r="O18" s="8">
        <v>16.5</v>
      </c>
      <c r="P18" s="8">
        <v>1.3</v>
      </c>
      <c r="Q18" s="8">
        <v>3.0</v>
      </c>
      <c r="R18" s="35">
        <v>0.05</v>
      </c>
      <c r="S18" s="2" t="s">
        <v>384</v>
      </c>
      <c r="T18" s="2"/>
      <c r="U18" s="2"/>
      <c r="V18" s="2"/>
      <c r="W18" s="2"/>
      <c r="X18" s="2"/>
      <c r="Y18" s="2"/>
      <c r="Z18" s="2"/>
    </row>
    <row r="19">
      <c r="A19" s="8">
        <v>2021.0</v>
      </c>
      <c r="B19" s="8">
        <v>8.0</v>
      </c>
      <c r="C19" s="8">
        <v>5.0</v>
      </c>
      <c r="D19" s="2" t="s">
        <v>490</v>
      </c>
      <c r="E19" s="2" t="s">
        <v>491</v>
      </c>
      <c r="F19" s="2" t="s">
        <v>19</v>
      </c>
      <c r="G19" s="2" t="s">
        <v>68</v>
      </c>
      <c r="H19" s="8">
        <v>1.0</v>
      </c>
      <c r="I19" s="8">
        <v>43.0</v>
      </c>
      <c r="J19" s="2" t="s">
        <v>390</v>
      </c>
      <c r="K19" s="2" t="s">
        <v>375</v>
      </c>
      <c r="L19" s="2" t="s">
        <v>422</v>
      </c>
      <c r="M19" s="34">
        <v>0.3506944444444444</v>
      </c>
      <c r="N19" s="34">
        <v>0.43333333333333335</v>
      </c>
      <c r="O19" s="8">
        <v>16.5</v>
      </c>
      <c r="P19" s="8">
        <v>1.6</v>
      </c>
      <c r="Q19" s="8">
        <v>3.0</v>
      </c>
      <c r="R19" s="35">
        <v>0.05</v>
      </c>
      <c r="S19" s="2" t="s">
        <v>384</v>
      </c>
      <c r="T19" s="2"/>
      <c r="U19" s="2"/>
      <c r="V19" s="2"/>
      <c r="W19" s="2"/>
      <c r="X19" s="2"/>
      <c r="Y19" s="2"/>
      <c r="Z19" s="2"/>
    </row>
    <row r="20">
      <c r="A20" s="8">
        <v>2021.0</v>
      </c>
      <c r="B20" s="8">
        <v>8.0</v>
      </c>
      <c r="C20" s="8">
        <v>5.0</v>
      </c>
      <c r="D20" s="2" t="s">
        <v>494</v>
      </c>
      <c r="E20" s="2" t="s">
        <v>496</v>
      </c>
      <c r="F20" s="2" t="s">
        <v>19</v>
      </c>
      <c r="G20" s="2" t="s">
        <v>68</v>
      </c>
      <c r="H20" s="8">
        <v>2.0</v>
      </c>
      <c r="I20" s="8">
        <v>59.0</v>
      </c>
      <c r="J20" s="2" t="s">
        <v>409</v>
      </c>
      <c r="K20" s="2" t="s">
        <v>375</v>
      </c>
      <c r="L20" s="2" t="s">
        <v>376</v>
      </c>
      <c r="M20" s="34">
        <v>0.3993055555555556</v>
      </c>
      <c r="N20" s="34">
        <v>0.4548611111111111</v>
      </c>
      <c r="O20" s="8">
        <v>16.5</v>
      </c>
      <c r="P20" s="8">
        <v>1.6</v>
      </c>
      <c r="Q20" s="8">
        <v>3.0</v>
      </c>
      <c r="R20" s="35">
        <v>0.2</v>
      </c>
      <c r="S20" s="2" t="s">
        <v>384</v>
      </c>
      <c r="T20" s="2"/>
      <c r="U20" s="2"/>
      <c r="V20" s="2"/>
      <c r="W20" s="2"/>
      <c r="X20" s="2"/>
      <c r="Y20" s="2"/>
      <c r="Z20" s="2"/>
    </row>
    <row r="21">
      <c r="A21" s="8">
        <v>2021.0</v>
      </c>
      <c r="B21" s="8">
        <v>8.0</v>
      </c>
      <c r="C21" s="8">
        <v>5.0</v>
      </c>
      <c r="D21" s="2" t="s">
        <v>500</v>
      </c>
      <c r="E21" s="2" t="s">
        <v>501</v>
      </c>
      <c r="F21" s="2" t="s">
        <v>19</v>
      </c>
      <c r="G21" s="2" t="s">
        <v>68</v>
      </c>
      <c r="H21" s="8">
        <v>2.0</v>
      </c>
      <c r="I21" s="8">
        <v>43.0</v>
      </c>
      <c r="J21" s="2" t="s">
        <v>390</v>
      </c>
      <c r="K21" s="2" t="s">
        <v>267</v>
      </c>
      <c r="L21" s="2" t="s">
        <v>411</v>
      </c>
      <c r="M21" s="34">
        <v>0.4361111111111111</v>
      </c>
      <c r="N21" s="34">
        <v>0.4979166666666667</v>
      </c>
      <c r="O21" s="8">
        <v>16.5</v>
      </c>
      <c r="P21" s="8">
        <v>1.3</v>
      </c>
      <c r="Q21" s="8">
        <v>3.0</v>
      </c>
      <c r="R21" s="35">
        <v>0.7</v>
      </c>
      <c r="S21" s="2" t="s">
        <v>384</v>
      </c>
      <c r="T21" s="2"/>
      <c r="U21" s="2"/>
      <c r="V21" s="2"/>
      <c r="W21" s="2"/>
      <c r="X21" s="2"/>
      <c r="Y21" s="2"/>
      <c r="Z21" s="2"/>
    </row>
    <row r="22">
      <c r="A22" s="8">
        <v>2021.0</v>
      </c>
      <c r="B22" s="8">
        <v>8.0</v>
      </c>
      <c r="C22" s="8">
        <v>5.0</v>
      </c>
      <c r="D22" s="2" t="s">
        <v>506</v>
      </c>
      <c r="E22" s="2" t="s">
        <v>508</v>
      </c>
      <c r="F22" s="2" t="s">
        <v>19</v>
      </c>
      <c r="G22" s="2" t="s">
        <v>68</v>
      </c>
      <c r="H22" s="8">
        <v>3.0</v>
      </c>
      <c r="I22" s="8">
        <v>66.0</v>
      </c>
      <c r="J22" s="2" t="s">
        <v>409</v>
      </c>
      <c r="K22" s="2" t="s">
        <v>375</v>
      </c>
      <c r="L22" s="2" t="s">
        <v>411</v>
      </c>
      <c r="M22" s="34">
        <v>0.45902777777777776</v>
      </c>
      <c r="N22" s="34">
        <v>0.5819444444444445</v>
      </c>
      <c r="O22" s="8">
        <v>16.5</v>
      </c>
      <c r="P22" s="8">
        <v>1.6</v>
      </c>
      <c r="Q22" s="8">
        <v>3.0</v>
      </c>
      <c r="R22" s="35">
        <v>0.9</v>
      </c>
      <c r="S22" s="2" t="s">
        <v>384</v>
      </c>
      <c r="T22" s="2"/>
      <c r="U22" s="2"/>
      <c r="V22" s="2"/>
      <c r="W22" s="2"/>
      <c r="X22" s="2"/>
      <c r="Y22" s="2"/>
      <c r="Z22" s="2"/>
    </row>
    <row r="23">
      <c r="A23" s="8">
        <v>2021.0</v>
      </c>
      <c r="B23" s="8">
        <v>8.0</v>
      </c>
      <c r="C23" s="8">
        <v>5.0</v>
      </c>
      <c r="D23" s="2" t="s">
        <v>512</v>
      </c>
      <c r="E23" s="2" t="s">
        <v>514</v>
      </c>
      <c r="F23" s="2" t="s">
        <v>19</v>
      </c>
      <c r="G23" s="2" t="s">
        <v>68</v>
      </c>
      <c r="H23" s="8">
        <v>3.0</v>
      </c>
      <c r="I23" s="8">
        <v>42.0</v>
      </c>
      <c r="J23" s="2" t="s">
        <v>390</v>
      </c>
      <c r="K23" s="2" t="s">
        <v>267</v>
      </c>
      <c r="L23" s="2" t="s">
        <v>411</v>
      </c>
      <c r="M23" s="34">
        <v>0.5006944444444444</v>
      </c>
      <c r="N23" s="34">
        <v>0.5993055555555555</v>
      </c>
      <c r="O23" s="8">
        <v>16.5</v>
      </c>
      <c r="P23" s="8">
        <v>2.3</v>
      </c>
      <c r="Q23" s="8">
        <v>3.0</v>
      </c>
      <c r="R23" s="35">
        <v>0.05</v>
      </c>
      <c r="S23" s="2" t="s">
        <v>384</v>
      </c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1">
      <c r="A1" s="2" t="s">
        <v>1607</v>
      </c>
      <c r="B1" s="8">
        <f>IFERROR(__xludf.DUMMYFUNCTION("COUNTUNIQUE(Sets!C149:C1147)"),12.0)</f>
        <v>12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1608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1609</v>
      </c>
      <c r="B3" s="2" t="s">
        <v>50</v>
      </c>
      <c r="C3" s="2" t="s">
        <v>68</v>
      </c>
      <c r="D3" s="2" t="s">
        <v>1610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15</v>
      </c>
      <c r="B4" s="8">
        <f t="shared" ref="B4:B6" si="1">COUNTIFS(sharks!P:P,A4,sharks!M:M,B$3)</f>
        <v>0</v>
      </c>
      <c r="C4" s="8">
        <f t="shared" ref="C4:C6" si="2">COUNTIFS(sharks!P:P,A4,sharks!M:M,C$3)</f>
        <v>0</v>
      </c>
      <c r="D4" s="8" t="str">
        <f t="shared" ref="D4:D6" si="3">COUNTIF(sharks!P:P,A4)</f>
        <v>#REF!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9</v>
      </c>
      <c r="B5" s="8">
        <f t="shared" si="1"/>
        <v>0</v>
      </c>
      <c r="C5" s="8">
        <f t="shared" si="2"/>
        <v>0</v>
      </c>
      <c r="D5" s="8" t="str">
        <f t="shared" si="3"/>
        <v>#REF!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22</v>
      </c>
      <c r="B6" s="8">
        <f t="shared" si="1"/>
        <v>0</v>
      </c>
      <c r="C6" s="8">
        <f t="shared" si="2"/>
        <v>0</v>
      </c>
      <c r="D6" s="8" t="str">
        <f t="shared" si="3"/>
        <v>#REF!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1614</v>
      </c>
      <c r="B7" s="8">
        <v>1.0</v>
      </c>
      <c r="C7" s="8">
        <v>1.0</v>
      </c>
      <c r="D7" s="8">
        <v>2.0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1619</v>
      </c>
      <c r="B10" s="8">
        <f>COUNT(Sets!L:L)</f>
        <v>446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1623</v>
      </c>
      <c r="B11" s="67" t="str">
        <f>SUM(D4:D6)/B10</f>
        <v>#REF!</v>
      </c>
      <c r="C11" s="2"/>
      <c r="D11" s="2" t="s">
        <v>1626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1629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 t="s">
        <v>15</v>
      </c>
      <c r="C14" s="2" t="s">
        <v>9</v>
      </c>
      <c r="D14" s="2" t="s">
        <v>22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70</v>
      </c>
      <c r="B15" s="8">
        <f>COUNTIFS(sharks!P:P,"TS",sharks!X:X,"&lt;&gt;-")</f>
        <v>0</v>
      </c>
      <c r="C15" s="68">
        <f>COUNTIFS(sharks!P:P,"CRS",sharks!X:X,"&lt;&gt;-")</f>
        <v>0</v>
      </c>
      <c r="D15" s="8">
        <f>COUNTIFS(sharks!P:P,"NS",sharks!X:X,"&lt;&gt;-")</f>
        <v>0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129</v>
      </c>
      <c r="B16" s="8">
        <f>COUNTIFS(sharks!P:P,"TS",sharks!Y:Y,"&lt;&gt;-")</f>
        <v>0</v>
      </c>
      <c r="C16" s="8">
        <f>COUNTIFS(sharks!P:P,"CRS",sharks!Y:Y,"&lt;&gt;-")</f>
        <v>0</v>
      </c>
      <c r="D16" s="8">
        <f>COUNTIFS(sharks!P:P,"NS",sharks!Y:Y,"&lt;&gt;-")</f>
        <v>0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1649</v>
      </c>
      <c r="B17" s="8">
        <f>COUNTIFS(sharks!P:P,"TS",sharks!Z:Z,"&lt;&gt;-")</f>
        <v>0</v>
      </c>
      <c r="C17" s="68">
        <f>COUNTIFS(sharks!P:P,"CRS",sharks!Z:Z,"&lt;&gt;-")</f>
        <v>0</v>
      </c>
      <c r="D17" s="8">
        <f>COUNTIFS(sharks!P:P,"NS",sharks!Z:Z,"&lt;&gt;-")</f>
        <v>0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143</v>
      </c>
      <c r="B18" s="68">
        <f>COUNTIFS(sharks!P:P,"TS",sharks!AB:AB,"&lt;&gt;-")</f>
        <v>0</v>
      </c>
      <c r="C18" s="68">
        <f>COUNTIFS(sharks!P:P,"CRS",sharks!AB:AB,"&lt;&gt;-")</f>
        <v>0</v>
      </c>
      <c r="D18" s="8">
        <f>COUNTIFS(sharks!P:P,"NS",sharks!AB:AB,"&lt;&gt;-")</f>
        <v>0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91</v>
      </c>
      <c r="B19" s="68" t="str">
        <f>SUMIF(sharks!P:P,"TS",sharks!V:V)</f>
        <v>#N/A</v>
      </c>
      <c r="C19" s="68" t="str">
        <f>SUMIF(sharks!P:P,"CRS",sharks!V:V)</f>
        <v>#N/A</v>
      </c>
      <c r="D19" s="68" t="str">
        <f>SUMIF(sharks!P:P,"NS",sharks!V:V)</f>
        <v>#N/A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52</v>
      </c>
      <c r="B20" s="68">
        <f>COUNTIFS(sharks!P:P,"TS",sharks!W:W,"&lt;&gt;-")</f>
        <v>0</v>
      </c>
      <c r="C20" s="68">
        <f>COUNTIFS(sharks!P:P,"CRS",sharks!W:W,"&lt;&gt;-")</f>
        <v>0</v>
      </c>
      <c r="D20" s="8">
        <f>COUNTIFS(sharks!P:P,"NS",sharks!AB:AB,"&lt;&gt;-")</f>
        <v>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 t="s">
        <v>145</v>
      </c>
      <c r="B21" s="68" t="str">
        <f>SUMIF(sharks!P:P,"TS",sharks!AC:AC)</f>
        <v>#N/A</v>
      </c>
      <c r="C21" s="68" t="str">
        <f>SUMIF(sharks!P:P,"CRS",sharks!AC:AC)</f>
        <v>#N/A</v>
      </c>
      <c r="D21" s="68" t="str">
        <f>SUMIF(sharks!P:P,"NS",sharks!AC:AC)</f>
        <v>#N/A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 t="s">
        <v>1667</v>
      </c>
      <c r="B22" s="68">
        <f>COUNTIFS(sharks!P:P,"TS",sharks!R:R,"&lt;&gt;-")</f>
        <v>0</v>
      </c>
      <c r="C22" s="68">
        <f>COUNTIFS(sharks!P:P,"CRS",sharks!R:R,"&lt;&gt;-")</f>
        <v>0</v>
      </c>
      <c r="D22" s="8">
        <f>COUNTIFS(sharks!P:P,"NS",sharks!R:R,"&lt;&gt;-")</f>
        <v>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 t="s">
        <v>1672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2024-06-04T21:21:37Z</dcterms:created>
  <dc:creator>Ayumi Kuramae Izioka</dc:creator>
</cp:coreProperties>
</file>